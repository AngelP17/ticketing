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7700" tabRatio="500" firstSheet="0" activeTab="0" autoFilterDateGrouping="1"/>
  </bookViews>
  <sheets>
    <sheet name="Dashboard" sheetId="1" state="visible" r:id="rId1"/>
    <sheet name="Setup" sheetId="2" state="hidden" r:id="rId2"/>
    <sheet name="IT Service Tickets" sheetId="3" state="visible" r:id="rId3"/>
    <sheet name="Charts" sheetId="4" state="visible" r:id="rId4"/>
  </sheets>
  <definedNames>
    <definedName name="PriorityList">Setup!$B$2:$B$5</definedName>
    <definedName name="RequestTypeList">Setup!$C$2:$C$17</definedName>
    <definedName name="StaffList">Setup!$D$2:$D$5</definedName>
    <definedName name="StatusList">Setup!$A$2:$A$5</definedName>
    <definedName name="_xlnm._FilterDatabase" localSheetId="2" hidden="1">'IT Service Tickets'!$A$1:$K$501</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m/dd/yy"/>
  </numFmts>
  <fonts count="16">
    <font>
      <name val="Calibri"/>
      <charset val="1"/>
      <family val="2"/>
      <color theme="1"/>
      <sz val="11"/>
    </font>
    <font>
      <name val="Cambria"/>
      <family val="1"/>
      <b val="1"/>
      <color rgb="FF1F4E79"/>
      <sz val="18"/>
    </font>
    <font>
      <name val="Cambria"/>
      <family val="1"/>
      <i val="1"/>
      <color rgb="FF666666"/>
      <sz val="11"/>
    </font>
    <font>
      <name val="Cambria"/>
      <family val="1"/>
      <b val="1"/>
      <color rgb="FF1F4E79"/>
      <sz val="12"/>
    </font>
    <font>
      <name val="Cambria"/>
      <family val="1"/>
      <b val="1"/>
      <sz val="10"/>
    </font>
    <font>
      <name val="Cambria"/>
      <family val="1"/>
      <b val="1"/>
      <color rgb="FF1F4E79"/>
      <sz val="26"/>
    </font>
    <font>
      <name val="Cambria"/>
      <family val="1"/>
      <b val="1"/>
      <color rgb="FFFF6B6B"/>
      <sz val="26"/>
    </font>
    <font>
      <name val="Cambria"/>
      <family val="1"/>
      <b val="1"/>
      <color rgb="FF92D050"/>
      <sz val="26"/>
    </font>
    <font>
      <name val="Cambria"/>
      <family val="1"/>
      <b val="1"/>
      <color rgb="FFFF0000"/>
      <sz val="26"/>
    </font>
    <font>
      <name val="Cambria"/>
      <family val="1"/>
      <b val="1"/>
      <color rgb="FFFFC000"/>
      <sz val="26"/>
    </font>
    <font>
      <name val="Cambria"/>
      <family val="1"/>
      <b val="1"/>
      <color rgb="FFFFFFFF"/>
      <sz val="11"/>
    </font>
    <font>
      <name val="Cambria"/>
      <family val="1"/>
      <b val="1"/>
      <color rgb="FF000000"/>
      <sz val="11"/>
    </font>
    <font>
      <name val="Cambria"/>
      <family val="1"/>
      <b val="1"/>
      <sz val="11"/>
    </font>
    <font>
      <name val="Cambria"/>
      <family val="1"/>
      <b val="1"/>
      <color rgb="FF2F5496"/>
      <sz val="16"/>
    </font>
    <font>
      <name val="Cambria"/>
      <family val="1"/>
      <i val="1"/>
      <color rgb="FF666666"/>
      <sz val="9"/>
    </font>
    <font>
      <name val="Cambria"/>
      <family val="1"/>
      <b val="1"/>
      <color rgb="FFFFFFFF"/>
      <sz val="14"/>
    </font>
  </fonts>
  <fills count="12">
    <fill>
      <patternFill/>
    </fill>
    <fill>
      <patternFill patternType="gray125"/>
    </fill>
    <fill>
      <patternFill patternType="solid">
        <fgColor rgb="FF1F4E79"/>
        <bgColor rgb="FF2F5496"/>
      </patternFill>
    </fill>
    <fill>
      <patternFill patternType="solid">
        <fgColor rgb="FF92D050"/>
        <bgColor rgb="FF9BBB59"/>
      </patternFill>
    </fill>
    <fill>
      <patternFill patternType="solid">
        <fgColor rgb="FFFF0000"/>
        <bgColor rgb="FF993300"/>
      </patternFill>
    </fill>
    <fill>
      <patternFill patternType="solid">
        <fgColor rgb="FF00B0F0"/>
        <bgColor rgb="FF33CCCC"/>
      </patternFill>
    </fill>
    <fill>
      <patternFill patternType="solid">
        <fgColor rgb="FFFF6B6B"/>
        <bgColor rgb="FFFF6600"/>
      </patternFill>
    </fill>
    <fill>
      <patternFill patternType="solid">
        <fgColor rgb="FFFFC000"/>
        <bgColor rgb="FFFF9900"/>
      </patternFill>
    </fill>
    <fill>
      <patternFill patternType="solid">
        <fgColor rgb="FFFFCCCC"/>
        <bgColor rgb="FFFFE6CC"/>
      </patternFill>
    </fill>
    <fill>
      <patternFill patternType="solid">
        <fgColor rgb="FFFFE6CC"/>
        <bgColor rgb="FFF2F2F2"/>
      </patternFill>
    </fill>
    <fill>
      <patternFill patternType="solid">
        <fgColor rgb="FF2F5496"/>
        <bgColor rgb="FF1F4E79"/>
      </patternFill>
    </fill>
    <fill>
      <patternFill patternType="solid">
        <fgColor rgb="FFF2F2F2"/>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pivotButton="0" quotePrefix="0" xfId="0"/>
    <xf numFmtId="0" fontId="3" fillId="0" borderId="0" pivotButton="0" quotePrefix="0" xfId="0"/>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center"/>
    </xf>
    <xf numFmtId="0" fontId="10" fillId="2" borderId="1" applyAlignment="1" pivotButton="0" quotePrefix="0" xfId="0">
      <alignment horizontal="center"/>
    </xf>
    <xf numFmtId="0" fontId="11" fillId="3" borderId="1" pivotButton="0" quotePrefix="0" xfId="0"/>
    <xf numFmtId="0" fontId="0" fillId="0" borderId="1" applyAlignment="1" pivotButton="0" quotePrefix="0" xfId="0">
      <alignment horizontal="center"/>
    </xf>
    <xf numFmtId="9" fontId="0" fillId="0" borderId="1" applyAlignment="1" pivotButton="0" quotePrefix="0" xfId="0">
      <alignment horizontal="center"/>
    </xf>
    <xf numFmtId="0" fontId="10" fillId="4" borderId="1" pivotButton="0" quotePrefix="0" xfId="0"/>
    <xf numFmtId="0" fontId="11" fillId="5" borderId="1" pivotButton="0" quotePrefix="0" xfId="0"/>
    <xf numFmtId="0" fontId="10" fillId="6" borderId="1" pivotButton="0" quotePrefix="0" xfId="0"/>
    <xf numFmtId="0" fontId="11" fillId="7" borderId="1" pivotButton="0" quotePrefix="0" xfId="0"/>
    <xf numFmtId="0" fontId="0" fillId="0" borderId="1" pivotButton="0" quotePrefix="0" xfId="0"/>
    <xf numFmtId="0" fontId="10" fillId="2" borderId="1" pivotButton="0" quotePrefix="0" xfId="0"/>
    <xf numFmtId="0" fontId="12" fillId="0" borderId="0" pivotButton="0" quotePrefix="0" xfId="0"/>
    <xf numFmtId="164" fontId="0" fillId="0" borderId="1" pivotButton="0" quotePrefix="0" xfId="0"/>
    <xf numFmtId="0" fontId="0" fillId="3" borderId="1" pivotButton="0" quotePrefix="0" xfId="0"/>
    <xf numFmtId="0" fontId="0" fillId="5" borderId="1" pivotButton="0" quotePrefix="0" xfId="0"/>
    <xf numFmtId="0" fontId="0" fillId="7" borderId="1" pivotButton="0" quotePrefix="0" xfId="0"/>
    <xf numFmtId="0" fontId="0" fillId="6" borderId="1" pivotButton="0" quotePrefix="0" xfId="0"/>
    <xf numFmtId="0" fontId="0" fillId="4" borderId="1" pivotButton="0" quotePrefix="0" xfId="0"/>
    <xf numFmtId="0" fontId="0" fillId="8" borderId="1" pivotButton="0" quotePrefix="0" xfId="0"/>
    <xf numFmtId="0" fontId="0" fillId="9" borderId="1" pivotButton="0" quotePrefix="0" xfId="0"/>
    <xf numFmtId="0" fontId="14" fillId="0" borderId="0" pivotButton="0" quotePrefix="0" xfId="0"/>
    <xf numFmtId="0" fontId="12" fillId="0" borderId="1" pivotButton="0" quotePrefix="0" xfId="0"/>
    <xf numFmtId="165" fontId="0" fillId="0" borderId="0" pivotButton="0" quotePrefix="0" xfId="0"/>
    <xf numFmtId="0" fontId="10" fillId="2" borderId="1" applyAlignment="1" pivotButton="0" quotePrefix="0" xfId="0">
      <alignment horizontal="center" vertical="center" wrapText="1"/>
    </xf>
    <xf numFmtId="0" fontId="0" fillId="11"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2" fillId="0" borderId="0" applyAlignment="1" pivotButton="0" quotePrefix="0" xfId="0">
      <alignment horizontal="center"/>
    </xf>
    <xf numFmtId="0" fontId="0" fillId="0" borderId="0" pivotButton="0" quotePrefix="0" xfId="0"/>
    <xf numFmtId="0" fontId="1" fillId="0" borderId="0" applyAlignment="1" pivotButton="0" quotePrefix="0" xfId="0">
      <alignment horizontal="center"/>
    </xf>
    <xf numFmtId="0" fontId="15" fillId="10" borderId="0" pivotButton="0" quotePrefix="0" xfId="0"/>
    <xf numFmtId="0" fontId="13" fillId="0" borderId="0" pivotButton="0" quotePrefix="0" xfId="0"/>
  </cellXfs>
  <cellStyles count="1">
    <cellStyle name="Normal" xfId="0" builtinId="0"/>
  </cellStyles>
  <dxfs count="10">
    <dxf>
      <fill>
        <patternFill>
          <bgColor rgb="FFFFE6CC"/>
        </patternFill>
      </fill>
    </dxf>
    <dxf>
      <fill>
        <patternFill>
          <bgColor rgb="FFFFCCCC"/>
        </patternFill>
      </fill>
    </dxf>
    <dxf>
      <font>
        <b val="1"/>
        <color rgb="FF000000"/>
      </font>
      <fill>
        <patternFill>
          <bgColor rgb="FF92D050"/>
        </patternFill>
      </fill>
    </dxf>
    <dxf>
      <font>
        <b val="1"/>
        <color rgb="FF000000"/>
      </font>
      <fill>
        <patternFill>
          <bgColor rgb="FFFFC000"/>
        </patternFill>
      </fill>
    </dxf>
    <dxf>
      <font>
        <b val="1"/>
        <color rgb="FFFFFFFF"/>
      </font>
      <fill>
        <patternFill>
          <bgColor rgb="FFFF6B6B"/>
        </patternFill>
      </fill>
    </dxf>
    <dxf>
      <font>
        <b val="1"/>
        <color rgb="FFFFFFFF"/>
      </font>
      <fill>
        <patternFill>
          <bgColor rgb="FFFF0000"/>
        </patternFill>
      </fill>
    </dxf>
    <dxf>
      <font>
        <b val="1"/>
        <color rgb="FFFFFFFF"/>
      </font>
      <fill>
        <patternFill>
          <bgColor rgb="FFFF6B6B"/>
        </patternFill>
      </fill>
    </dxf>
    <dxf>
      <font>
        <b val="1"/>
        <color rgb="FF000000"/>
      </font>
      <fill>
        <patternFill>
          <bgColor rgb="FFFFC000"/>
        </patternFill>
      </fill>
    </dxf>
    <dxf>
      <font>
        <b val="1"/>
        <color rgb="FF000000"/>
      </font>
      <fill>
        <patternFill>
          <bgColor rgb="FF00B0F0"/>
        </patternFill>
      </fill>
    </dxf>
    <dxf>
      <font>
        <b val="1"/>
        <color rgb="FF000000"/>
      </font>
      <fill>
        <patternFill>
          <bgColor rgb="FF92D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666666"/>
      <rgbColor rgb="FF9999FF"/>
      <rgbColor rgb="FFC0504D"/>
      <rgbColor rgb="FFF2F2F2"/>
      <rgbColor rgb="FFCCFFFF"/>
      <rgbColor rgb="FF660066"/>
      <rgbColor rgb="FFFF6B6B"/>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E6CC"/>
      <rgbColor rgb="FF99CCFF"/>
      <rgbColor rgb="FFFF99CC"/>
      <rgbColor rgb="FFCC99FF"/>
      <rgbColor rgb="FFFFCCCC"/>
      <rgbColor rgb="FF4F81BD"/>
      <rgbColor rgb="FF33CCCC"/>
      <rgbColor rgb="FF92D050"/>
      <rgbColor rgb="FFFFC000"/>
      <rgbColor rgb="FFFF9900"/>
      <rgbColor rgb="FFFF6600"/>
      <rgbColor rgb="FF8064A2"/>
      <rgbColor rgb="FF9BBB59"/>
      <rgbColor rgb="FF1F4E79"/>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Status</a:t>
            </a:r>
          </a:p>
        </rich>
      </tx>
      <overlay val="0"/>
      <spPr>
        <a:noFill/>
        <a:ln w="0">
          <a:noFill/>
          <a:prstDash val="solid"/>
        </a:ln>
      </spPr>
    </title>
    <plotArea>
      <layout/>
      <pieChart>
        <varyColors val="1"/>
        <ser>
          <idx val="0"/>
          <order val="0"/>
          <tx>
            <strRef>
              <f>Charts!$C$6</f>
              <strCache>
                <ptCount val="1"/>
                <pt idx="0">
                  <v>Count</v>
                </pt>
              </strCache>
            </strRef>
          </tx>
          <spPr>
            <a:solidFill>
              <a:srgbClr val="4F81BD"/>
            </a:solidFill>
            <a:ln w="0">
              <a:noFill/>
              <a:prstDash val="solid"/>
            </a:ln>
          </spPr>
          <dPt>
            <idx val="0"/>
            <bubble3D val="0"/>
            <spPr>
              <a:ln>
                <a:prstDash val="solid"/>
              </a:ln>
            </spPr>
          </dPt>
          <dPt>
            <idx val="1"/>
            <bubble3D val="0"/>
            <spPr>
              <a:solidFill>
                <a:srgbClr val="C0504D"/>
              </a:solidFill>
              <a:ln w="0">
                <a:noFill/>
                <a:prstDash val="solid"/>
              </a:ln>
            </spPr>
          </dPt>
          <dPt>
            <idx val="2"/>
            <bubble3D val="0"/>
            <spPr>
              <a:solidFill>
                <a:srgbClr val="9BBB59"/>
              </a:solidFill>
              <a:ln w="0">
                <a:noFill/>
                <a:prstDash val="solid"/>
              </a:ln>
            </spPr>
          </dPt>
          <dPt>
            <idx val="3"/>
            <bubble3D val="0"/>
            <spPr>
              <a:solidFill>
                <a:srgbClr val="8064A2"/>
              </a:solidFill>
              <a:ln w="0">
                <a:noFill/>
                <a:prstDash val="solid"/>
              </a:ln>
            </spPr>
          </dPt>
          <dLbls>
            <dLbl>
              <idx val="0"/>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dLbl>
              <idx val="1"/>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dLbl>
              <idx val="2"/>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dLbl>
              <idx val="3"/>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spPr>
              <a:noFill/>
              <a:ln>
                <a:noFill/>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showLeaderLines val="1"/>
          </dLbls>
          <cat>
            <strRef>
              <f>Charts!$B$7:$B$10</f>
              <strCache>
                <ptCount val="4"/>
                <pt idx="0">
                  <v>Closed</v>
                </pt>
                <pt idx="1">
                  <v>Resolved</v>
                </pt>
                <pt idx="2">
                  <v>In Progress</v>
                </pt>
                <pt idx="3">
                  <v>Waiting for Info</v>
                </pt>
              </strCache>
            </strRef>
          </cat>
          <val>
            <numRef>
              <f>Charts!$C$7:$C$10</f>
              <numCache>
                <formatCode>General</formatCode>
                <ptCount val="4"/>
                <pt idx="0">
                  <v>14</v>
                </pt>
                <pt idx="1">
                  <v>7</v>
                </pt>
                <pt idx="2">
                  <v>4</v>
                </pt>
                <pt idx="3">
                  <v>2</v>
                </pt>
              </numCache>
            </numRef>
          </val>
        </ser>
        <dLbls>
          <showLegendKey val="0"/>
          <showVal val="0"/>
          <showCatName val="0"/>
          <showSerName val="0"/>
          <showPercent val="0"/>
          <showBubbleSize val="0"/>
          <showLeaderLines val="1"/>
        </dLbls>
        <firstSliceAng val="0"/>
      </pieChart>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Priority</a:t>
            </a:r>
          </a:p>
        </rich>
      </tx>
      <overlay val="0"/>
      <spPr>
        <a:noFill/>
        <a:ln w="0">
          <a:noFill/>
          <a:prstDash val="solid"/>
        </a:ln>
      </spPr>
    </title>
    <plotArea>
      <layout/>
      <pieChart>
        <varyColors val="1"/>
        <ser>
          <idx val="0"/>
          <order val="0"/>
          <tx>
            <strRef>
              <f>Charts!$G$6</f>
              <strCache>
                <ptCount val="1"/>
                <pt idx="0">
                  <v>Count</v>
                </pt>
              </strCache>
            </strRef>
          </tx>
          <spPr>
            <a:solidFill>
              <a:srgbClr val="4F81BD"/>
            </a:solidFill>
            <a:ln w="0">
              <a:noFill/>
              <a:prstDash val="solid"/>
            </a:ln>
          </spPr>
          <dPt>
            <idx val="0"/>
            <bubble3D val="0"/>
            <spPr>
              <a:ln>
                <a:prstDash val="solid"/>
              </a:ln>
            </spPr>
          </dPt>
          <dPt>
            <idx val="1"/>
            <bubble3D val="0"/>
            <spPr>
              <a:solidFill>
                <a:srgbClr val="C0504D"/>
              </a:solidFill>
              <a:ln w="0">
                <a:noFill/>
                <a:prstDash val="solid"/>
              </a:ln>
            </spPr>
          </dPt>
          <dPt>
            <idx val="2"/>
            <bubble3D val="0"/>
            <spPr>
              <a:solidFill>
                <a:srgbClr val="9BBB59"/>
              </a:solidFill>
              <a:ln w="0">
                <a:noFill/>
                <a:prstDash val="solid"/>
              </a:ln>
            </spPr>
          </dPt>
          <dPt>
            <idx val="3"/>
            <bubble3D val="0"/>
            <spPr>
              <a:solidFill>
                <a:srgbClr val="8064A2"/>
              </a:solidFill>
              <a:ln w="0">
                <a:noFill/>
                <a:prstDash val="solid"/>
              </a:ln>
            </spPr>
          </dPt>
          <dLbls>
            <dLbl>
              <idx val="0"/>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dLbl>
              <idx val="1"/>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dLbl>
              <idx val="2"/>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dLbl>
              <idx val="3"/>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dLbl>
            <spPr>
              <a:noFill/>
              <a:ln>
                <a:noFill/>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0"/>
            <showSerName val="1"/>
            <showPercent val="1"/>
            <showBubbleSize val="1"/>
            <showLeaderLines val="1"/>
          </dLbls>
          <cat>
            <strRef>
              <f>Charts!$F$7:$F$10</f>
              <strCache>
                <ptCount val="4"/>
                <pt idx="0">
                  <v>Critical</v>
                </pt>
                <pt idx="1">
                  <v>High</v>
                </pt>
                <pt idx="2">
                  <v>Medium</v>
                </pt>
                <pt idx="3">
                  <v>Low</v>
                </pt>
              </strCache>
            </strRef>
          </cat>
          <val>
            <numRef>
              <f>Charts!$G$7:$G$10</f>
              <numCache>
                <formatCode>General</formatCode>
                <ptCount val="4"/>
                <pt idx="0">
                  <v>1</v>
                </pt>
                <pt idx="1">
                  <v>4</v>
                </pt>
                <pt idx="2">
                  <v>7</v>
                </pt>
                <pt idx="3">
                  <v>15</v>
                </pt>
              </numCache>
            </numRef>
          </val>
        </ser>
        <dLbls>
          <showLegendKey val="0"/>
          <showVal val="0"/>
          <showCatName val="0"/>
          <showSerName val="0"/>
          <showPercent val="0"/>
          <showBubbleSize val="0"/>
          <showLeaderLines val="1"/>
        </dLbls>
        <firstSliceAng val="0"/>
      </pieChart>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Request Type</a:t>
            </a:r>
          </a:p>
        </rich>
      </tx>
      <overlay val="0"/>
      <spPr>
        <a:noFill/>
        <a:ln w="0">
          <a:noFill/>
          <a:prstDash val="solid"/>
        </a:ln>
      </spPr>
    </title>
    <plotArea>
      <layout/>
      <barChart>
        <barDir val="bar"/>
        <grouping val="clustered"/>
        <varyColors val="0"/>
        <ser>
          <idx val="0"/>
          <order val="0"/>
          <tx>
            <strRef>
              <f>Charts!$K$6</f>
              <strCache>
                <ptCount val="1"/>
                <pt idx="0">
                  <v>Total</v>
                </pt>
              </strCache>
            </strRef>
          </tx>
          <spPr>
            <a:solidFill>
              <a:srgbClr val="4F81BD"/>
            </a:solidFill>
            <a:ln w="0">
              <a:solidFill>
                <a:srgbClr val="000000"/>
              </a:solid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Charts!$J$7:$J$22</f>
              <strCache>
                <ptCount val="16"/>
                <pt idx="0">
                  <v>Software Issues</v>
                </pt>
                <pt idx="1">
                  <v>Network Problems</v>
                </pt>
                <pt idx="2">
                  <v>Hardware Setup</v>
                </pt>
                <pt idx="3">
                  <v>Permission Changes</v>
                </pt>
                <pt idx="4">
                  <v>Server Issues</v>
                </pt>
                <pt idx="5">
                  <v>Software Setup</v>
                </pt>
                <pt idx="6">
                  <v>Documentation Request</v>
                </pt>
                <pt idx="7">
                  <v>Account Setup</v>
                </pt>
                <pt idx="8">
                  <v>Hardware Adquisition</v>
                </pt>
                <pt idx="9">
                  <v>Software Acquisition</v>
                </pt>
                <pt idx="10">
                  <v>Spam Removal</v>
                </pt>
                <pt idx="11">
                  <v>Email Issues</v>
                </pt>
                <pt idx="12">
                  <v>Account Changes</v>
                </pt>
                <pt idx="13">
                  <v>Company Website Issues</v>
                </pt>
                <pt idx="14">
                  <v>Feedback Request</v>
                </pt>
                <pt idx="15">
                  <v>System Access</v>
                </pt>
              </strCache>
            </strRef>
          </cat>
          <val>
            <numRef>
              <f>Charts!$K$7:$K$22</f>
              <numCache>
                <formatCode>General</formatCode>
                <ptCount val="16"/>
                <pt idx="0">
                  <v>3</v>
                </pt>
                <pt idx="1">
                  <v>2</v>
                </pt>
                <pt idx="2">
                  <v>3</v>
                </pt>
                <pt idx="3">
                  <v>4</v>
                </pt>
                <pt idx="4">
                  <v>1</v>
                </pt>
                <pt idx="5">
                  <v>2</v>
                </pt>
                <pt idx="6">
                  <v>2</v>
                </pt>
                <pt idx="7">
                  <v>1</v>
                </pt>
                <pt idx="8">
                  <v>1</v>
                </pt>
                <pt idx="9">
                  <v>1</v>
                </pt>
                <pt idx="10">
                  <v>2</v>
                </pt>
                <pt idx="11">
                  <v>1</v>
                </pt>
                <pt idx="12">
                  <v>1</v>
                </pt>
                <pt idx="13">
                  <v>1</v>
                </pt>
                <pt idx="14">
                  <v>1</v>
                </pt>
                <pt idx="15">
                  <v>1</v>
                </pt>
              </numCache>
            </numRef>
          </val>
        </ser>
        <ser>
          <idx val="1"/>
          <order val="1"/>
          <tx>
            <strRef>
              <f>Charts!$L$6</f>
              <strCache>
                <ptCount val="1"/>
                <pt idx="0">
                  <v>Open</v>
                </pt>
              </strCache>
            </strRef>
          </tx>
          <spPr>
            <a:solidFill>
              <a:srgbClr val="C0504D"/>
            </a:solidFill>
            <a:ln w="0">
              <a:solidFill>
                <a:srgbClr val="000000"/>
              </a:solid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Charts!$J$7:$J$22</f>
              <strCache>
                <ptCount val="16"/>
                <pt idx="0">
                  <v>Software Issues</v>
                </pt>
                <pt idx="1">
                  <v>Network Problems</v>
                </pt>
                <pt idx="2">
                  <v>Hardware Setup</v>
                </pt>
                <pt idx="3">
                  <v>Permission Changes</v>
                </pt>
                <pt idx="4">
                  <v>Server Issues</v>
                </pt>
                <pt idx="5">
                  <v>Software Setup</v>
                </pt>
                <pt idx="6">
                  <v>Documentation Request</v>
                </pt>
                <pt idx="7">
                  <v>Account Setup</v>
                </pt>
                <pt idx="8">
                  <v>Hardware Adquisition</v>
                </pt>
                <pt idx="9">
                  <v>Software Acquisition</v>
                </pt>
                <pt idx="10">
                  <v>Spam Removal</v>
                </pt>
                <pt idx="11">
                  <v>Email Issues</v>
                </pt>
                <pt idx="12">
                  <v>Account Changes</v>
                </pt>
                <pt idx="13">
                  <v>Company Website Issues</v>
                </pt>
                <pt idx="14">
                  <v>Feedback Request</v>
                </pt>
                <pt idx="15">
                  <v>System Access</v>
                </pt>
              </strCache>
            </strRef>
          </cat>
          <val>
            <numRef>
              <f>Charts!$L$7:$L$22</f>
              <numCache>
                <formatCode>General</formatCode>
                <ptCount val="16"/>
                <pt idx="0">
                  <v>2</v>
                </pt>
                <pt idx="1">
                  <v>2</v>
                </pt>
                <pt idx="2">
                  <v>0</v>
                </pt>
                <pt idx="3">
                  <v>0</v>
                </pt>
                <pt idx="4">
                  <v>1</v>
                </pt>
                <pt idx="5">
                  <v>0</v>
                </pt>
                <pt idx="6">
                  <v>0</v>
                </pt>
                <pt idx="7">
                  <v>0</v>
                </pt>
                <pt idx="8">
                  <v>0</v>
                </pt>
                <pt idx="9">
                  <v>0</v>
                </pt>
                <pt idx="10">
                  <v>0</v>
                </pt>
                <pt idx="11">
                  <v>0</v>
                </pt>
                <pt idx="12">
                  <v>0</v>
                </pt>
                <pt idx="13">
                  <v>0</v>
                </pt>
                <pt idx="14">
                  <v>1</v>
                </pt>
                <pt idx="15">
                  <v>0</v>
                </pt>
              </numCache>
            </numRef>
          </val>
        </ser>
        <dLbls>
          <showLegendKey val="0"/>
          <showVal val="0"/>
          <showCatName val="0"/>
          <showSerName val="0"/>
          <showPercent val="0"/>
          <showBubbleSize val="0"/>
        </dLbls>
        <gapWidth val="150"/>
        <axId val="26676"/>
        <axId val="24809338"/>
      </barChart>
      <catAx>
        <axId val="26676"/>
        <scaling>
          <orientation val="minMax"/>
        </scaling>
        <delete val="0"/>
        <axPos val="l"/>
        <title>
          <tx>
            <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24809338"/>
        <crosses val="autoZero"/>
        <auto val="1"/>
        <lblAlgn val="ctr"/>
        <lblOffset val="100"/>
        <noMultiLvlLbl val="0"/>
      </catAx>
      <valAx>
        <axId val="24809338"/>
        <scaling>
          <orientation val="minMax"/>
        </scaling>
        <delete val="0"/>
        <axPos val="b"/>
        <majorGridlines>
          <spPr>
            <a:ln w="0">
              <a:solidFill>
                <a:srgbClr val="B3B3B3"/>
              </a:solidFill>
              <a:prstDash val="solid"/>
            </a:ln>
          </spPr>
        </majorGridlines>
        <title>
          <tx>
            <rich>
              <a:bodyPr rot="0"/>
              <a:lstStyle/>
              <a:p>
                <a:pPr>
                  <a:defRPr sz="1000" b="1" strike="noStrike" spc="-1">
                    <a:solidFill>
                      <a:srgbClr val="000000"/>
                    </a:solidFill>
                    <a:latin typeface="Calibri"/>
                  </a:defRPr>
                </a:pPr>
                <a:r>
                  <a:rPr lang="en-US" sz="1000" b="1" strike="noStrike" spc="-1">
                    <a:solidFill>
                      <a:srgbClr val="000000"/>
                    </a:solidFill>
                    <a:latin typeface="Calibri"/>
                  </a:rPr>
                  <a:t>Request Type</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26676"/>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Staff Workload Distribution</a:t>
            </a:r>
          </a:p>
        </rich>
      </tx>
      <overlay val="0"/>
      <spPr>
        <a:noFill/>
        <a:ln w="0">
          <a:noFill/>
          <a:prstDash val="solid"/>
        </a:ln>
      </spPr>
    </title>
    <plotArea>
      <layout/>
      <barChart>
        <barDir val="col"/>
        <grouping val="clustered"/>
        <varyColors val="0"/>
        <ser>
          <idx val="0"/>
          <order val="0"/>
          <tx>
            <strRef>
              <f>Charts!$C$33</f>
              <strCache>
                <ptCount val="1"/>
                <pt idx="0">
                  <v>Assigned</v>
                </pt>
              </strCache>
            </strRef>
          </tx>
          <spPr>
            <a:solidFill>
              <a:srgbClr val="4F81BD"/>
            </a:solidFill>
            <a:ln w="0">
              <a:solidFill>
                <a:srgbClr val="000000"/>
              </a:solid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Charts!$B$34:$B$37</f>
              <strCache>
                <ptCount val="4"/>
                <pt idx="0">
                  <v>Angel Pinzon</v>
                </pt>
                <pt idx="1">
                  <v>VC3</v>
                </pt>
                <pt idx="2">
                  <v>Angel + VC3</v>
                </pt>
                <pt idx="3">
                  <v>Angel + Manuel</v>
                </pt>
              </strCache>
            </strRef>
          </cat>
          <val>
            <numRef>
              <f>Charts!$C$34:$C$37</f>
              <numCache>
                <formatCode>General</formatCode>
                <ptCount val="4"/>
                <pt idx="0">
                  <v>19</v>
                </pt>
                <pt idx="1">
                  <v>14</v>
                </pt>
                <pt idx="2">
                  <v>6</v>
                </pt>
                <pt idx="3">
                  <v>1</v>
                </pt>
              </numCache>
            </numRef>
          </val>
        </ser>
        <ser>
          <idx val="1"/>
          <order val="1"/>
          <tx>
            <strRef>
              <f>Charts!$D$33</f>
              <strCache>
                <ptCount val="1"/>
                <pt idx="0">
                  <v>Open</v>
                </pt>
              </strCache>
            </strRef>
          </tx>
          <spPr>
            <a:solidFill>
              <a:srgbClr val="C0504D"/>
            </a:solidFill>
            <a:ln w="0">
              <a:solidFill>
                <a:srgbClr val="000000"/>
              </a:solid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Charts!$B$34:$B$37</f>
              <strCache>
                <ptCount val="4"/>
                <pt idx="0">
                  <v>Angel Pinzon</v>
                </pt>
                <pt idx="1">
                  <v>VC3</v>
                </pt>
                <pt idx="2">
                  <v>Angel + VC3</v>
                </pt>
                <pt idx="3">
                  <v>Angel + Manuel</v>
                </pt>
              </strCache>
            </strRef>
          </cat>
          <val>
            <numRef>
              <f>Charts!$D$34:$D$37</f>
              <numCache>
                <formatCode>General</formatCode>
                <ptCount val="4"/>
                <pt idx="0">
                  <v>2</v>
                </pt>
                <pt idx="1">
                  <v>5</v>
                </pt>
                <pt idx="2">
                  <v>1</v>
                </pt>
                <pt idx="3">
                  <v>1</v>
                </pt>
              </numCache>
            </numRef>
          </val>
        </ser>
        <dLbls>
          <showLegendKey val="0"/>
          <showVal val="0"/>
          <showCatName val="0"/>
          <showSerName val="0"/>
          <showPercent val="0"/>
          <showBubbleSize val="0"/>
        </dLbls>
        <gapWidth val="150"/>
        <axId val="31434851"/>
        <axId val="62471854"/>
      </barChart>
      <catAx>
        <axId val="31434851"/>
        <scaling>
          <orientation val="minMax"/>
        </scaling>
        <delete val="0"/>
        <axPos val="b"/>
        <title>
          <tx>
            <rich>
              <a:bodyPr rot="0"/>
              <a:lstStyle/>
              <a:p>
                <a:pPr>
                  <a:defRPr sz="1000" b="1" strike="noStrike" spc="-1">
                    <a:solidFill>
                      <a:srgbClr val="000000"/>
                    </a:solidFill>
                    <a:latin typeface="Calibri"/>
                  </a:defRPr>
                </a:pPr>
                <a:r>
                  <a:rPr lang="en-US" sz="1000" b="1" strike="noStrike" spc="-1">
                    <a:solidFill>
                      <a:srgbClr val="000000"/>
                    </a:solidFill>
                    <a:latin typeface="Calibri"/>
                  </a:rPr>
                  <a:t>Staff</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62471854"/>
        <crosses val="autoZero"/>
        <auto val="1"/>
        <lblAlgn val="ctr"/>
        <lblOffset val="100"/>
        <noMultiLvlLbl val="0"/>
      </catAx>
      <valAx>
        <axId val="62471854"/>
        <scaling>
          <orientation val="minMax"/>
        </scaling>
        <delete val="0"/>
        <axPos val="l"/>
        <majorGridlines>
          <spPr>
            <a:ln w="0">
              <a:solidFill>
                <a:srgbClr val="B3B3B3"/>
              </a:solidFill>
              <a:prstDash val="solid"/>
            </a:ln>
          </spPr>
        </majorGridlines>
        <title>
          <tx>
            <rich>
              <a:bodyPr rot="-5400000"/>
              <a:lstStyle/>
              <a:p>
                <a:pPr>
                  <a:defRPr sz="1000" b="1" strike="noStrike" spc="-1">
                    <a:solidFill>
                      <a:srgbClr val="000000"/>
                    </a:solidFill>
                    <a:latin typeface="Calibri"/>
                  </a:defRPr>
                </a:pPr>
                <a:r>
                  <a:rPr lang="en-US" sz="1000" b="1" strike="noStrike" spc="-1">
                    <a:solidFill>
                      <a:srgbClr val="000000"/>
                    </a:solidFill>
                    <a:latin typeface="Calibri"/>
                  </a:rPr>
                  <a:t>Ticket Count</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3143485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Open vs Closed Tickets</a:t>
            </a:r>
          </a:p>
        </rich>
      </tx>
      <overlay val="0"/>
      <spPr>
        <a:noFill/>
        <a:ln w="0">
          <a:noFill/>
          <a:prstDash val="solid"/>
        </a:ln>
      </spPr>
    </title>
    <plotArea>
      <layout/>
      <pieChart>
        <varyColors val="1"/>
        <ser>
          <idx val="0"/>
          <order val="0"/>
          <tx>
            <strRef>
              <f>Charts!$G$33</f>
              <strCache>
                <ptCount val="1"/>
                <pt idx="0">
                  <v>Count</v>
                </pt>
              </strCache>
            </strRef>
          </tx>
          <spPr>
            <a:solidFill>
              <a:srgbClr val="4F81BD"/>
            </a:solidFill>
            <a:ln w="0">
              <a:noFill/>
              <a:prstDash val="solid"/>
            </a:ln>
          </spPr>
          <dPt>
            <idx val="0"/>
            <bubble3D val="0"/>
            <spPr>
              <a:ln>
                <a:prstDash val="solid"/>
              </a:ln>
            </spPr>
          </dPt>
          <dPt>
            <idx val="1"/>
            <bubble3D val="0"/>
            <spPr>
              <a:solidFill>
                <a:srgbClr val="C0504D"/>
              </a:solidFill>
              <a:ln w="0">
                <a:noFill/>
                <a:prstDash val="solid"/>
              </a:ln>
            </spPr>
          </dPt>
          <dLbls>
            <dLbl>
              <idx val="0"/>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1"/>
              <showSerName val="1"/>
              <showPercent val="1"/>
              <showBubbleSize val="1"/>
            </dLbl>
            <dLbl>
              <idx val="1"/>
              <spPr>
                <a:ln>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1"/>
              <showSerName val="1"/>
              <showPercent val="1"/>
              <showBubbleSize val="1"/>
            </dLbl>
            <spPr>
              <a:noFill/>
              <a:ln>
                <a:noFill/>
                <a:prstDash val="solid"/>
              </a:ln>
            </spPr>
            <txPr>
              <a:bodyPr wrap="square"/>
              <a:lstStyle/>
              <a:p>
                <a:pPr>
                  <a:defRPr sz="1000" b="0" strike="noStrike" spc="-1">
                    <a:solidFill>
                      <a:srgbClr val="000000"/>
                    </a:solidFill>
                    <a:latin typeface="Calibri"/>
                  </a:defRPr>
                </a:pPr>
                <a:r>
                  <a:t>None</a:t>
                </a:r>
                <a:endParaRPr lang="en-US"/>
              </a:p>
            </txPr>
            <dLblPos val="bestFit"/>
            <showLegendKey val="1"/>
            <showVal val="1"/>
            <showCatName val="1"/>
            <showSerName val="1"/>
            <showPercent val="1"/>
            <showBubbleSize val="1"/>
            <showLeaderLines val="1"/>
          </dLbls>
          <cat>
            <strRef>
              <f>Charts!$F$34:$F$35</f>
              <strCache>
                <ptCount val="2"/>
                <pt idx="0">
                  <v>Open (In Progress + Waiting)</v>
                </pt>
                <pt idx="1">
                  <v>Closed/Resolved</v>
                </pt>
              </strCache>
            </strRef>
          </cat>
          <val>
            <numRef>
              <f>Charts!$G$34:$G$35</f>
              <numCache>
                <formatCode>General</formatCode>
                <ptCount val="2"/>
                <pt idx="0">
                  <v>6</v>
                </pt>
                <pt idx="1">
                  <v>21</v>
                </pt>
              </numCache>
            </numRef>
          </val>
        </ser>
        <dLbls>
          <showLegendKey val="0"/>
          <showVal val="0"/>
          <showCatName val="0"/>
          <showSerName val="0"/>
          <showPercent val="0"/>
          <showBubbleSize val="0"/>
          <showLeaderLines val="1"/>
        </dLbls>
        <firstSliceAng val="0"/>
      </pieChart>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Week</a:t>
            </a:r>
          </a:p>
        </rich>
      </tx>
      <overlay val="0"/>
      <spPr>
        <a:noFill/>
        <a:ln w="0">
          <a:noFill/>
          <a:prstDash val="solid"/>
        </a:ln>
      </spPr>
    </title>
    <plotArea>
      <layout/>
      <barChart>
        <barDir val="col"/>
        <grouping val="clustered"/>
        <varyColors val="0"/>
        <ser>
          <idx val="0"/>
          <order val="0"/>
          <tx>
            <strRef>
              <f>Charts!$C$59</f>
              <strCache>
                <ptCount val="1"/>
                <pt idx="0">
                  <v>Count</v>
                </pt>
              </strCache>
            </strRef>
          </tx>
          <spPr>
            <a:solidFill>
              <a:srgbClr val="4F81BD"/>
            </a:solidFill>
            <a:ln w="0">
              <a:solidFill>
                <a:srgbClr val="000000"/>
              </a:solid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Charts!$B$60:$B$63</f>
              <strCache>
                <ptCount val="4"/>
                <pt idx="0">
                  <v>Current Week</v>
                </pt>
                <pt idx="1">
                  <v>Last Week</v>
                </pt>
                <pt idx="2">
                  <v>2 Weeks Ago</v>
                </pt>
                <pt idx="3">
                  <v>3 Weeks Ago</v>
                </pt>
              </strCache>
            </strRef>
          </cat>
          <val>
            <numRef>
              <f>Charts!$C$60:$C$63</f>
              <numCache>
                <formatCode>General</formatCode>
                <ptCount val="4"/>
                <pt idx="0">
                  <v>2</v>
                </pt>
                <pt idx="1">
                  <v>13</v>
                </pt>
                <pt idx="2">
                  <v>8</v>
                </pt>
                <pt idx="3">
                  <v>3</v>
                </pt>
              </numCache>
            </numRef>
          </val>
        </ser>
        <dLbls>
          <showLegendKey val="0"/>
          <showVal val="0"/>
          <showCatName val="0"/>
          <showSerName val="0"/>
          <showPercent val="0"/>
          <showBubbleSize val="0"/>
        </dLbls>
        <gapWidth val="150"/>
        <axId val="96222381"/>
        <axId val="92092204"/>
      </barChart>
      <catAx>
        <axId val="96222381"/>
        <scaling>
          <orientation val="minMax"/>
        </scaling>
        <delete val="0"/>
        <axPos val="b"/>
        <title>
          <tx>
            <rich>
              <a:bodyPr rot="0"/>
              <a:lstStyle/>
              <a:p>
                <a:pPr>
                  <a:defRPr sz="1000" b="1" strike="noStrike" spc="-1">
                    <a:solidFill>
                      <a:srgbClr val="000000"/>
                    </a:solidFill>
                    <a:latin typeface="Calibri"/>
                  </a:defRPr>
                </a:pPr>
                <a:r>
                  <a:rPr lang="en-US" sz="1000" b="1" strike="noStrike" spc="-1">
                    <a:solidFill>
                      <a:srgbClr val="000000"/>
                    </a:solidFill>
                    <a:latin typeface="Calibri"/>
                  </a:rPr>
                  <a:t>Week</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92092204"/>
        <crosses val="autoZero"/>
        <auto val="1"/>
        <lblAlgn val="ctr"/>
        <lblOffset val="100"/>
        <noMultiLvlLbl val="0"/>
      </catAx>
      <valAx>
        <axId val="92092204"/>
        <scaling>
          <orientation val="minMax"/>
        </scaling>
        <delete val="0"/>
        <axPos val="l"/>
        <majorGridlines>
          <spPr>
            <a:ln w="0">
              <a:solidFill>
                <a:srgbClr val="B3B3B3"/>
              </a:solidFill>
              <a:prstDash val="solid"/>
            </a:ln>
          </spPr>
        </majorGridlines>
        <title>
          <tx>
            <rich>
              <a:bodyPr rot="-5400000"/>
              <a:lstStyle/>
              <a:p>
                <a:pPr>
                  <a:defRPr sz="1000" b="1" strike="noStrike" spc="-1">
                    <a:solidFill>
                      <a:srgbClr val="000000"/>
                    </a:solidFill>
                    <a:latin typeface="Calibri"/>
                  </a:defRPr>
                </a:pPr>
                <a:r>
                  <a:rPr lang="en-US" sz="1000" b="1" strike="noStrike" spc="-1">
                    <a:solidFill>
                      <a:srgbClr val="000000"/>
                    </a:solidFill>
                    <a:latin typeface="Calibri"/>
                  </a:rPr>
                  <a:t>Ticket Count</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9622238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US" sz="1800" b="1" strike="noStrike" spc="-1">
                <a:solidFill>
                  <a:srgbClr val="000000"/>
                </a:solidFill>
                <a:latin typeface="Calibri"/>
              </a:rPr>
              <a:t>Open Tickets by Priority</a:t>
            </a:r>
          </a:p>
        </rich>
      </tx>
      <overlay val="0"/>
      <spPr>
        <a:noFill/>
        <a:ln w="0">
          <a:noFill/>
          <a:prstDash val="solid"/>
        </a:ln>
      </spPr>
    </title>
    <plotArea>
      <layout/>
      <barChart>
        <barDir val="col"/>
        <grouping val="clustered"/>
        <varyColors val="0"/>
        <ser>
          <idx val="0"/>
          <order val="0"/>
          <tx>
            <strRef>
              <f>Charts!$G$59</f>
              <strCache>
                <ptCount val="1"/>
                <pt idx="0">
                  <v>Open Count</v>
                </pt>
              </strCache>
            </strRef>
          </tx>
          <spPr>
            <a:solidFill>
              <a:srgbClr val="4F81BD"/>
            </a:solidFill>
            <a:ln w="0">
              <a:solidFill>
                <a:srgbClr val="000000"/>
              </a:solid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Charts!$F$60:$F$63</f>
              <strCache>
                <ptCount val="4"/>
                <pt idx="0">
                  <v>Critical Open</v>
                </pt>
                <pt idx="1">
                  <v>High Open</v>
                </pt>
                <pt idx="2">
                  <v>Medium Open</v>
                </pt>
                <pt idx="3">
                  <v>Low Open</v>
                </pt>
              </strCache>
            </strRef>
          </cat>
          <val>
            <numRef>
              <f>Charts!$G$60:$G$63</f>
              <numCache>
                <formatCode>General</formatCode>
                <ptCount val="4"/>
                <pt idx="0">
                  <v>1</v>
                </pt>
                <pt idx="1">
                  <v>2</v>
                </pt>
                <pt idx="2">
                  <v>0</v>
                </pt>
                <pt idx="3">
                  <v>3</v>
                </pt>
              </numCache>
            </numRef>
          </val>
        </ser>
        <dLbls>
          <showLegendKey val="0"/>
          <showVal val="0"/>
          <showCatName val="0"/>
          <showSerName val="0"/>
          <showPercent val="0"/>
          <showBubbleSize val="0"/>
        </dLbls>
        <gapWidth val="150"/>
        <axId val="48308496"/>
        <axId val="11141657"/>
      </barChart>
      <catAx>
        <axId val="48308496"/>
        <scaling>
          <orientation val="minMax"/>
        </scaling>
        <delete val="0"/>
        <axPos val="b"/>
        <title>
          <tx>
            <rich>
              <a:bodyPr rot="0"/>
              <a:lstStyle/>
              <a:p>
                <a:pPr>
                  <a:defRPr sz="1000" b="1" strike="noStrike" spc="-1">
                    <a:solidFill>
                      <a:srgbClr val="000000"/>
                    </a:solidFill>
                    <a:latin typeface="Calibri"/>
                  </a:defRPr>
                </a:pPr>
                <a:r>
                  <a:rPr lang="en-US" sz="1000" b="1" strike="noStrike" spc="-1">
                    <a:solidFill>
                      <a:srgbClr val="000000"/>
                    </a:solidFill>
                    <a:latin typeface="Calibri"/>
                  </a:rPr>
                  <a:t>Priority</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11141657"/>
        <crosses val="autoZero"/>
        <auto val="1"/>
        <lblAlgn val="ctr"/>
        <lblOffset val="100"/>
        <noMultiLvlLbl val="0"/>
      </catAx>
      <valAx>
        <axId val="11141657"/>
        <scaling>
          <orientation val="minMax"/>
        </scaling>
        <delete val="0"/>
        <axPos val="l"/>
        <majorGridlines>
          <spPr>
            <a:ln w="0">
              <a:solidFill>
                <a:srgbClr val="B3B3B3"/>
              </a:solidFill>
              <a:prstDash val="solid"/>
            </a:ln>
          </spPr>
        </majorGridlines>
        <title>
          <tx>
            <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rich>
          </tx>
          <overlay val="0"/>
          <spPr>
            <a:noFill/>
            <a:ln w="0">
              <a:noFill/>
              <a:prstDash val="solid"/>
            </a:ln>
          </spPr>
        </title>
        <numFmt formatCode="General" sourceLinked="1"/>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None</a:t>
            </a:r>
            <a:endParaRPr lang="en-US"/>
          </a:p>
        </txPr>
        <crossAx val="48308496"/>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657225</colOff>
      <row>28</row>
      <rowOff>5550</rowOff>
    </from>
    <to>
      <col>13</col>
      <colOff>282660</colOff>
      <row>42</row>
      <rowOff>180270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295275</colOff>
      <row>12</row>
      <rowOff>119850</rowOff>
    </from>
    <to>
      <col>5</col>
      <colOff>1302195</colOff>
      <row>27</row>
      <rowOff>142170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12</col>
      <colOff>447675</colOff>
      <row>3</row>
      <rowOff>138900</rowOff>
    </from>
    <to>
      <col>23</col>
      <colOff>215985</colOff>
      <row>26</row>
      <rowOff>47460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1</col>
      <colOff>0</colOff>
      <row>38</row>
      <rowOff>71280</rowOff>
    </from>
    <to>
      <col>5</col>
      <colOff>1006560</colOff>
      <row>53</row>
      <rowOff>93600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14</col>
      <colOff>209550</colOff>
      <row>28</row>
      <rowOff>4605</rowOff>
    </from>
    <to>
      <col>21</col>
      <colOff>283020</colOff>
      <row>42</row>
      <rowOff>179325</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14</col>
      <colOff>295275</colOff>
      <row>47</row>
      <rowOff>79500</rowOff>
    </from>
    <to>
      <col>21</col>
      <colOff>368385</colOff>
      <row>62</row>
      <rowOff>63360</rowOff>
    </to>
    <graphicFrame>
      <nvGraphicFramePr>
        <cNvPr id="6" name="Chart 6"/>
        <cNvGraphicFramePr/>
      </nvGraphicFramePr>
      <xfrm/>
      <a:graphic>
        <a:graphicData uri="http://schemas.openxmlformats.org/drawingml/2006/chart">
          <c:chart r:id="rId6"/>
        </a:graphicData>
      </a:graphic>
    </graphicFrame>
    <clientData/>
  </twoCellAnchor>
  <twoCellAnchor editAs="oneCell">
    <from>
      <col>7</col>
      <colOff>638175</colOff>
      <row>47</row>
      <rowOff>108075</rowOff>
    </from>
    <to>
      <col>13</col>
      <colOff>263970</colOff>
      <row>62</row>
      <rowOff>91935</rowOff>
    </to>
    <graphicFrame>
      <nvGraphicFramePr>
        <cNvPr id="7" name="Chart 7"/>
        <cNvGraphicFramePr/>
      </nvGraphicFramePr>
      <xfrm/>
      <a:graphic>
        <a:graphicData uri="http://schemas.openxmlformats.org/drawingml/2006/chart">
          <c:chart r:id="rId7"/>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J60"/>
  <sheetViews>
    <sheetView tabSelected="1" zoomScaleNormal="100" workbookViewId="0">
      <selection activeCell="N59" sqref="N59"/>
    </sheetView>
  </sheetViews>
  <sheetFormatPr baseColWidth="10" defaultColWidth="8.6640625" defaultRowHeight="15"/>
  <cols>
    <col width="3" customWidth="1" style="36" min="1" max="1"/>
    <col width="22" customWidth="1" style="36" min="2" max="2"/>
    <col width="10" customWidth="1" style="36" min="3" max="5"/>
    <col width="20" customWidth="1" style="36" min="6" max="6"/>
    <col width="10" customWidth="1" style="36" min="7" max="7"/>
    <col width="18" customWidth="1" style="36" min="8" max="8"/>
    <col width="8" customWidth="1" style="36" min="9" max="9"/>
  </cols>
  <sheetData>
    <row r="2" ht="21.75" customHeight="1" s="36">
      <c r="B2" s="37" t="inlineStr">
        <is>
          <t>IT SERVICE TICKETS DASHBOARD</t>
        </is>
      </c>
    </row>
    <row r="3" ht="15" customHeight="1" s="36">
      <c r="B3" s="35" t="n"/>
    </row>
    <row r="5" ht="15" customHeight="1" s="36">
      <c r="B5" s="1" t="inlineStr">
        <is>
          <t>KEY PERFORMANCE INDICATORS</t>
        </is>
      </c>
    </row>
    <row r="7" ht="15" customHeight="1" s="36">
      <c r="B7" s="2" t="inlineStr">
        <is>
          <t>Total Tickets</t>
        </is>
      </c>
      <c r="D7" s="2" t="inlineStr">
        <is>
          <t>Open Tickets</t>
        </is>
      </c>
      <c r="F7" s="2" t="inlineStr">
        <is>
          <t>Closed/Resolved</t>
        </is>
      </c>
      <c r="H7" s="2" t="inlineStr">
        <is>
          <t>Critical Open</t>
        </is>
      </c>
    </row>
    <row r="8" ht="31.5" customHeight="1" s="36">
      <c r="B8" s="3">
        <f>COUNTA('IT Service Tickets'!B:B)-1</f>
        <v/>
      </c>
      <c r="D8" s="4">
        <f>COUNTIF('IT Service Tickets'!C:C,"In Progress")+COUNTIF('IT Service Tickets'!C:C,"Waiting for Info")</f>
        <v/>
      </c>
      <c r="F8" s="5">
        <f>COUNTIF('IT Service Tickets'!C:C,"Closed")+COUNTIF('IT Service Tickets'!C:C,"Resolved")</f>
        <v/>
      </c>
      <c r="H8" s="6">
        <f>COUNTIFS('IT Service Tickets'!D:D,"Critical",'IT Service Tickets'!C:C,"&lt;&gt;Closed",'IT Service Tickets'!C:C,"&lt;&gt;Resolved")</f>
        <v/>
      </c>
    </row>
    <row r="10" ht="15" customHeight="1" s="36">
      <c r="B10" s="2" t="inlineStr">
        <is>
          <t>Resolution Rate</t>
        </is>
      </c>
      <c r="D10" s="2" t="inlineStr">
        <is>
          <t>High Priority Open</t>
        </is>
      </c>
      <c r="F10" s="2" t="inlineStr">
        <is>
          <t>Waiting for Info</t>
        </is>
      </c>
      <c r="H10" s="2" t="inlineStr">
        <is>
          <t>This Week</t>
        </is>
      </c>
    </row>
    <row r="11" ht="31.5" customHeight="1" s="36">
      <c r="B11" s="3">
        <f>IF(COUNTA('IT Service Tickets'!B:B)-1=0,"-",TEXT((COUNTIF('IT Service Tickets'!C:C,"Closed")+COUNTIF('IT Service Tickets'!C:C,"Resolved"))/(COUNTA('IT Service Tickets'!B:B)-1),"0%"))</f>
        <v/>
      </c>
      <c r="D11" s="4">
        <f>COUNTIFS('IT Service Tickets'!D:D,"High",'IT Service Tickets'!C:C,"&lt;&gt;Closed",'IT Service Tickets'!C:C,"&lt;&gt;Resolved")</f>
        <v/>
      </c>
      <c r="F11" s="7">
        <f>COUNTIF('IT Service Tickets'!C:C,"Waiting for Info")</f>
        <v/>
      </c>
      <c r="H11" s="3">
        <f>COUNTIFS('IT Service Tickets'!H:H,"&gt;="&amp;(Setup!$G$2-7),'IT Service Tickets'!H:H,"&lt;="&amp;Setup!$G$2)</f>
        <v/>
      </c>
    </row>
    <row r="14" ht="15" customHeight="1" s="36">
      <c r="B14" s="1" t="inlineStr">
        <is>
          <t>STATUS BREAKDOWN</t>
        </is>
      </c>
      <c r="F14" s="1" t="inlineStr">
        <is>
          <t>PRIORITY BREAKDOWN</t>
        </is>
      </c>
    </row>
    <row r="16" ht="15" customHeight="1" s="36">
      <c r="B16" s="8" t="inlineStr">
        <is>
          <t>Status</t>
        </is>
      </c>
      <c r="C16" s="8" t="inlineStr">
        <is>
          <t>Count</t>
        </is>
      </c>
      <c r="D16" s="8" t="inlineStr">
        <is>
          <t>%</t>
        </is>
      </c>
      <c r="F16" s="8" t="inlineStr">
        <is>
          <t>Priority</t>
        </is>
      </c>
      <c r="G16" s="8" t="inlineStr">
        <is>
          <t>Count</t>
        </is>
      </c>
      <c r="H16" s="8" t="inlineStr">
        <is>
          <t>%</t>
        </is>
      </c>
    </row>
    <row r="17" ht="15" customHeight="1" s="36">
      <c r="B17" s="9" t="inlineStr">
        <is>
          <t>Closed</t>
        </is>
      </c>
      <c r="C17" s="10">
        <f>COUNTIF('IT Service Tickets'!C:C,"Closed")</f>
        <v/>
      </c>
      <c r="D17" s="11">
        <f>IF($B$8=0,"-",C17/$B$8)</f>
        <v/>
      </c>
      <c r="F17" s="12" t="inlineStr">
        <is>
          <t>Critical</t>
        </is>
      </c>
      <c r="G17" s="10">
        <f>COUNTIF('IT Service Tickets'!D:D,"Critical")</f>
        <v/>
      </c>
      <c r="H17" s="11">
        <f>IF($B$8=0,"-",G17/$B$8)</f>
        <v/>
      </c>
    </row>
    <row r="18" ht="15" customHeight="1" s="36">
      <c r="B18" s="13" t="inlineStr">
        <is>
          <t>Resolved</t>
        </is>
      </c>
      <c r="C18" s="10">
        <f>COUNTIF('IT Service Tickets'!C:C,"Resolved")</f>
        <v/>
      </c>
      <c r="D18" s="11">
        <f>IF($B$8=0,"-",C18/$B$8)</f>
        <v/>
      </c>
      <c r="F18" s="14" t="inlineStr">
        <is>
          <t>High</t>
        </is>
      </c>
      <c r="G18" s="10">
        <f>COUNTIF('IT Service Tickets'!D:D,"High")</f>
        <v/>
      </c>
      <c r="H18" s="11">
        <f>IF($B$8=0,"-",G18/$B$8)</f>
        <v/>
      </c>
    </row>
    <row r="19" ht="15" customHeight="1" s="36">
      <c r="B19" s="15" t="inlineStr">
        <is>
          <t>In Progress</t>
        </is>
      </c>
      <c r="C19" s="10">
        <f>COUNTIF('IT Service Tickets'!C:C,"In Progress")</f>
        <v/>
      </c>
      <c r="D19" s="11">
        <f>IF($B$8=0,"-",C19/$B$8)</f>
        <v/>
      </c>
      <c r="F19" s="15" t="inlineStr">
        <is>
          <t>Medium</t>
        </is>
      </c>
      <c r="G19" s="10">
        <f>COUNTIF('IT Service Tickets'!D:D,"Medium")</f>
        <v/>
      </c>
      <c r="H19" s="11">
        <f>IF($B$8=0,"-",G19/$B$8)</f>
        <v/>
      </c>
    </row>
    <row r="20" ht="15" customHeight="1" s="36">
      <c r="B20" s="14" t="inlineStr">
        <is>
          <t>Waiting for Info</t>
        </is>
      </c>
      <c r="C20" s="10">
        <f>COUNTIF('IT Service Tickets'!C:C,"Waiting for Info")</f>
        <v/>
      </c>
      <c r="D20" s="11">
        <f>IF($B$8=0,"-",C20/$B$8)</f>
        <v/>
      </c>
      <c r="F20" s="9" t="inlineStr">
        <is>
          <t>Low</t>
        </is>
      </c>
      <c r="G20" s="10">
        <f>COUNTIF('IT Service Tickets'!D:D,"Low")</f>
        <v/>
      </c>
      <c r="H20" s="11">
        <f>IF($B$8=0,"-",G20/$B$8)</f>
        <v/>
      </c>
    </row>
    <row r="23" ht="15" customHeight="1" s="36">
      <c r="B23" s="1" t="inlineStr">
        <is>
          <t>REQUEST TYPES</t>
        </is>
      </c>
      <c r="F23" s="1" t="inlineStr">
        <is>
          <t>STAFF WORKLOAD</t>
        </is>
      </c>
    </row>
    <row r="25" ht="15" customHeight="1" s="36">
      <c r="B25" s="8" t="inlineStr">
        <is>
          <t>Request Type</t>
        </is>
      </c>
      <c r="C25" s="8" t="inlineStr">
        <is>
          <t>Total</t>
        </is>
      </c>
      <c r="D25" s="8" t="inlineStr">
        <is>
          <t>Open</t>
        </is>
      </c>
      <c r="F25" s="8" t="inlineStr">
        <is>
          <t>Staff</t>
        </is>
      </c>
      <c r="G25" s="8" t="inlineStr">
        <is>
          <t>Assigned</t>
        </is>
      </c>
      <c r="H25" s="8" t="inlineStr">
        <is>
          <t>Open</t>
        </is>
      </c>
    </row>
    <row r="26" ht="15" customHeight="1" s="36">
      <c r="B26" s="16" t="inlineStr">
        <is>
          <t>Account Changes</t>
        </is>
      </c>
      <c r="C26" s="10">
        <f>COUNTIF('IT Service Tickets'!E:E,"Account Changes")</f>
        <v/>
      </c>
      <c r="D26" s="10">
        <f>COUNTIFS('IT Service Tickets'!E:E,"Account Changes",'IT Service Tickets'!C:C,"&lt;&gt;Closed",'IT Service Tickets'!C:C,"&lt;&gt;Resolved")</f>
        <v/>
      </c>
      <c r="F26" s="16" t="inlineStr">
        <is>
          <t>Angel Pinzon</t>
        </is>
      </c>
      <c r="G26" s="10">
        <f>COUNTIF('IT Service Tickets'!F:F,"*Angel Pinzon*")</f>
        <v/>
      </c>
      <c r="H26" s="10">
        <f>COUNTIFS('IT Service Tickets'!F:F,"*Angel Pinzon*",'IT Service Tickets'!C:C,"&lt;&gt;Closed",'IT Service Tickets'!C:C,"&lt;&gt;Resolved")</f>
        <v/>
      </c>
    </row>
    <row r="27" ht="15" customHeight="1" s="36">
      <c r="B27" s="16" t="inlineStr">
        <is>
          <t>Account Setup</t>
        </is>
      </c>
      <c r="C27" s="10">
        <f>COUNTIF('IT Service Tickets'!E:E,"Account Setup")</f>
        <v/>
      </c>
      <c r="D27" s="10">
        <f>COUNTIFS('IT Service Tickets'!E:E,"Account Setup",'IT Service Tickets'!C:C,"&lt;&gt;Closed",'IT Service Tickets'!C:C,"&lt;&gt;Resolved")</f>
        <v/>
      </c>
      <c r="F27" s="16" t="inlineStr">
        <is>
          <t>VC3</t>
        </is>
      </c>
      <c r="G27" s="10">
        <f>COUNTIF('IT Service Tickets'!F:F,"*VC3*")</f>
        <v/>
      </c>
      <c r="H27" s="10">
        <f>COUNTIFS('IT Service Tickets'!F:F,"*VC3*",'IT Service Tickets'!C:C,"&lt;&gt;Closed",'IT Service Tickets'!C:C,"&lt;&gt;Resolved")</f>
        <v/>
      </c>
    </row>
    <row r="28" ht="15" customHeight="1" s="36">
      <c r="B28" s="16" t="inlineStr">
        <is>
          <t>Company Website Issues</t>
        </is>
      </c>
      <c r="C28" s="10">
        <f>COUNTIF('IT Service Tickets'!E:E,"Company Website Issues")</f>
        <v/>
      </c>
      <c r="D28" s="10">
        <f>COUNTIFS('IT Service Tickets'!E:E,"Company Website Issues",'IT Service Tickets'!C:C,"&lt;&gt;Closed",'IT Service Tickets'!C:C,"&lt;&gt;Resolved")</f>
        <v/>
      </c>
      <c r="F28" s="16" t="inlineStr">
        <is>
          <t>Angel + VC3</t>
        </is>
      </c>
      <c r="G28" s="10">
        <f>COUNTIF('IT Service Tickets'!F:F,"*@Angel Pinzon @VC3*")</f>
        <v/>
      </c>
      <c r="H28" s="10">
        <f>COUNTIFS('IT Service Tickets'!F:F,"*@Angel Pinzon @VC3*",'IT Service Tickets'!C:C,"&lt;&gt;Closed",'IT Service Tickets'!C:C,"&lt;&gt;Resolved")</f>
        <v/>
      </c>
    </row>
    <row r="29" ht="15" customHeight="1" s="36">
      <c r="B29" s="16" t="inlineStr">
        <is>
          <t>Documentation Request</t>
        </is>
      </c>
      <c r="C29" s="10">
        <f>COUNTIF('IT Service Tickets'!E:E,"Documentation Request")</f>
        <v/>
      </c>
      <c r="D29" s="10">
        <f>COUNTIFS('IT Service Tickets'!E:E,"Documentation Request",'IT Service Tickets'!C:C,"&lt;&gt;Closed",'IT Service Tickets'!C:C,"&lt;&gt;Resolved")</f>
        <v/>
      </c>
      <c r="F29" s="16" t="inlineStr">
        <is>
          <t>Angel + Manuel</t>
        </is>
      </c>
      <c r="G29" s="10">
        <f>COUNTIF('IT Service Tickets'!F:F,"*@Angel Pinzon @Manuel*")</f>
        <v/>
      </c>
      <c r="H29" s="10">
        <f>COUNTIFS('IT Service Tickets'!F:F,"*@Angel Pinzon @Manuel*",'IT Service Tickets'!C:C,"&lt;&gt;Closed",'IT Service Tickets'!C:C,"&lt;&gt;Resolved")</f>
        <v/>
      </c>
    </row>
    <row r="30" ht="15" customHeight="1" s="36">
      <c r="B30" s="16" t="inlineStr">
        <is>
          <t>Email Issues</t>
        </is>
      </c>
      <c r="C30" s="10">
        <f>COUNTIF('IT Service Tickets'!E:E,"Email Issues")</f>
        <v/>
      </c>
      <c r="D30" s="10">
        <f>COUNTIFS('IT Service Tickets'!E:E,"Email Issues",'IT Service Tickets'!C:C,"&lt;&gt;Closed",'IT Service Tickets'!C:C,"&lt;&gt;Resolved")</f>
        <v/>
      </c>
    </row>
    <row r="31" ht="15" customHeight="1" s="36">
      <c r="B31" s="16" t="inlineStr">
        <is>
          <t>Feedback Request</t>
        </is>
      </c>
      <c r="C31" s="10">
        <f>COUNTIF('IT Service Tickets'!E:E,"Feedback Request")</f>
        <v/>
      </c>
      <c r="D31" s="10">
        <f>COUNTIFS('IT Service Tickets'!E:E,"Feedback Request",'IT Service Tickets'!C:C,"&lt;&gt;Closed",'IT Service Tickets'!C:C,"&lt;&gt;Resolved")</f>
        <v/>
      </c>
    </row>
    <row r="32" ht="15" customHeight="1" s="36">
      <c r="B32" s="16" t="inlineStr">
        <is>
          <t>Hardware Adquisition</t>
        </is>
      </c>
      <c r="C32" s="10">
        <f>COUNTIF('IT Service Tickets'!E:E,"Hardware Adquisition")</f>
        <v/>
      </c>
      <c r="D32" s="10">
        <f>COUNTIFS('IT Service Tickets'!E:E,"Hardware Adquisition",'IT Service Tickets'!C:C,"&lt;&gt;Closed",'IT Service Tickets'!C:C,"&lt;&gt;Resolved")</f>
        <v/>
      </c>
    </row>
    <row r="33" ht="15" customHeight="1" s="36">
      <c r="B33" s="16" t="inlineStr">
        <is>
          <t>Hardware Setup</t>
        </is>
      </c>
      <c r="C33" s="10">
        <f>COUNTIF('IT Service Tickets'!E:E,"Hardware Setup")</f>
        <v/>
      </c>
      <c r="D33" s="10">
        <f>COUNTIFS('IT Service Tickets'!E:E,"Hardware Setup",'IT Service Tickets'!C:C,"&lt;&gt;Closed",'IT Service Tickets'!C:C,"&lt;&gt;Resolved")</f>
        <v/>
      </c>
    </row>
    <row r="34" ht="15" customHeight="1" s="36">
      <c r="B34" s="16" t="inlineStr">
        <is>
          <t>Network Problems</t>
        </is>
      </c>
      <c r="C34" s="10">
        <f>COUNTIF('IT Service Tickets'!E:E,"Network Problems")</f>
        <v/>
      </c>
      <c r="D34" s="10">
        <f>COUNTIFS('IT Service Tickets'!E:E,"Network Problems",'IT Service Tickets'!C:C,"&lt;&gt;Closed",'IT Service Tickets'!C:C,"&lt;&gt;Resolved")</f>
        <v/>
      </c>
    </row>
    <row r="35" ht="15" customHeight="1" s="36">
      <c r="B35" s="16" t="inlineStr">
        <is>
          <t>Permission Changes</t>
        </is>
      </c>
      <c r="C35" s="10">
        <f>COUNTIF('IT Service Tickets'!E:E,"Permission Changes")</f>
        <v/>
      </c>
      <c r="D35" s="10">
        <f>COUNTIFS('IT Service Tickets'!E:E,"Permission Changes",'IT Service Tickets'!C:C,"&lt;&gt;Closed",'IT Service Tickets'!C:C,"&lt;&gt;Resolved")</f>
        <v/>
      </c>
    </row>
    <row r="36" ht="15" customHeight="1" s="36">
      <c r="B36" s="16" t="inlineStr">
        <is>
          <t>Server Issues</t>
        </is>
      </c>
      <c r="C36" s="10">
        <f>COUNTIF('IT Service Tickets'!E:E,"Server Issues")</f>
        <v/>
      </c>
      <c r="D36" s="10">
        <f>COUNTIFS('IT Service Tickets'!E:E,"Server Issues",'IT Service Tickets'!C:C,"&lt;&gt;Closed",'IT Service Tickets'!C:C,"&lt;&gt;Resolved")</f>
        <v/>
      </c>
    </row>
    <row r="37" ht="15" customHeight="1" s="36">
      <c r="B37" s="16" t="inlineStr">
        <is>
          <t>Software Acquisition</t>
        </is>
      </c>
      <c r="C37" s="10">
        <f>COUNTIF('IT Service Tickets'!E:E,"Software Acquisition")</f>
        <v/>
      </c>
      <c r="D37" s="10">
        <f>COUNTIFS('IT Service Tickets'!E:E,"Software Acquisition",'IT Service Tickets'!C:C,"&lt;&gt;Closed",'IT Service Tickets'!C:C,"&lt;&gt;Resolved")</f>
        <v/>
      </c>
    </row>
    <row r="38" ht="15" customHeight="1" s="36">
      <c r="B38" s="16" t="inlineStr">
        <is>
          <t>Software Issues</t>
        </is>
      </c>
      <c r="C38" s="10">
        <f>COUNTIF('IT Service Tickets'!E:E,"Software Issues")</f>
        <v/>
      </c>
      <c r="D38" s="10">
        <f>COUNTIFS('IT Service Tickets'!E:E,"Software Issues",'IT Service Tickets'!C:C,"&lt;&gt;Closed",'IT Service Tickets'!C:C,"&lt;&gt;Resolved")</f>
        <v/>
      </c>
    </row>
    <row r="39" ht="15" customHeight="1" s="36">
      <c r="B39" s="16" t="inlineStr">
        <is>
          <t>Software Setup</t>
        </is>
      </c>
      <c r="C39" s="10">
        <f>COUNTIF('IT Service Tickets'!E:E,"Software Setup")</f>
        <v/>
      </c>
      <c r="D39" s="10">
        <f>COUNTIFS('IT Service Tickets'!E:E,"Software Setup",'IT Service Tickets'!C:C,"&lt;&gt;Closed",'IT Service Tickets'!C:C,"&lt;&gt;Resolved")</f>
        <v/>
      </c>
    </row>
    <row r="40" ht="15" customHeight="1" s="36">
      <c r="B40" s="16" t="inlineStr">
        <is>
          <t>Spam Removal</t>
        </is>
      </c>
      <c r="C40" s="10">
        <f>COUNTIF('IT Service Tickets'!E:E,"Spam Removal")</f>
        <v/>
      </c>
      <c r="D40" s="10">
        <f>COUNTIFS('IT Service Tickets'!E:E,"Spam Removal",'IT Service Tickets'!C:C,"&lt;&gt;Closed",'IT Service Tickets'!C:C,"&lt;&gt;Resolved")</f>
        <v/>
      </c>
    </row>
    <row r="41" ht="15" customHeight="1" s="36">
      <c r="B41" s="16" t="inlineStr">
        <is>
          <t>System Access</t>
        </is>
      </c>
      <c r="C41" s="10">
        <f>COUNTIF('IT Service Tickets'!E:E,"System Access")</f>
        <v/>
      </c>
      <c r="D41" s="10">
        <f>COUNTIFS('IT Service Tickets'!E:E,"System Access",'IT Service Tickets'!C:C,"&lt;&gt;Closed",'IT Service Tickets'!C:C,"&lt;&gt;Resolved")</f>
        <v/>
      </c>
    </row>
    <row r="44" ht="15" customHeight="1" s="36">
      <c r="B44" s="1" t="inlineStr">
        <is>
          <t>RECENT TICKETS (Last 5)</t>
        </is>
      </c>
      <c r="H44" s="1" t="inlineStr">
        <is>
          <t>COLOR LEGEND</t>
        </is>
      </c>
    </row>
    <row r="46" ht="15" customHeight="1" s="36">
      <c r="B46" s="17" t="inlineStr">
        <is>
          <t>Ticket ID</t>
        </is>
      </c>
      <c r="C46" s="17" t="inlineStr">
        <is>
          <t>Title</t>
        </is>
      </c>
      <c r="D46" s="17" t="inlineStr">
        <is>
          <t>Status</t>
        </is>
      </c>
      <c r="E46" s="17" t="inlineStr">
        <is>
          <t>Priority</t>
        </is>
      </c>
      <c r="F46" s="17" t="inlineStr">
        <is>
          <t>Date</t>
        </is>
      </c>
      <c r="H46" s="18" t="inlineStr">
        <is>
          <t>Status</t>
        </is>
      </c>
    </row>
    <row r="47" ht="15" customHeight="1" s="36">
      <c r="B47" s="16">
        <f>IFERROR(INDEX('IT Service Tickets'!A:A,COUNTA('IT Service Tickets'!B:B)-0),"")</f>
        <v/>
      </c>
      <c r="C47" s="16">
        <f>IFERROR(INDEX('IT Service Tickets'!B:B,COUNTA('IT Service Tickets'!B:B)-0),"")</f>
        <v/>
      </c>
      <c r="D47" s="16">
        <f>IFERROR(INDEX('IT Service Tickets'!C:C,COUNTA('IT Service Tickets'!B:B)-0),"")</f>
        <v/>
      </c>
      <c r="E47" s="16">
        <f>IFERROR(INDEX('IT Service Tickets'!D:D,COUNTA('IT Service Tickets'!B:B)-0),"")</f>
        <v/>
      </c>
      <c r="F47" s="19">
        <f>IFERROR(INDEX('IT Service Tickets'!H:H,COUNTA('IT Service Tickets'!B:B)-0),"")</f>
        <v/>
      </c>
      <c r="H47" t="inlineStr">
        <is>
          <t>Closed</t>
        </is>
      </c>
      <c r="I47" s="20" t="n"/>
    </row>
    <row r="48" ht="15" customHeight="1" s="36">
      <c r="B48" s="16">
        <f>IFERROR(INDEX('IT Service Tickets'!A:A,COUNTA('IT Service Tickets'!B:B)-1),"")</f>
        <v/>
      </c>
      <c r="C48" s="16">
        <f>IFERROR(INDEX('IT Service Tickets'!B:B,COUNTA('IT Service Tickets'!B:B)-1),"")</f>
        <v/>
      </c>
      <c r="D48" s="16">
        <f>IFERROR(INDEX('IT Service Tickets'!C:C,COUNTA('IT Service Tickets'!B:B)-1),"")</f>
        <v/>
      </c>
      <c r="E48" s="16">
        <f>IFERROR(INDEX('IT Service Tickets'!D:D,COUNTA('IT Service Tickets'!B:B)-1),"")</f>
        <v/>
      </c>
      <c r="F48" s="19">
        <f>IFERROR(INDEX('IT Service Tickets'!H:H,COUNTA('IT Service Tickets'!B:B)-1),"")</f>
        <v/>
      </c>
      <c r="H48" t="inlineStr">
        <is>
          <t>Resolved</t>
        </is>
      </c>
      <c r="I48" s="21" t="n"/>
    </row>
    <row r="49" ht="15" customHeight="1" s="36">
      <c r="B49" s="16">
        <f>IFERROR(INDEX('IT Service Tickets'!A:A,COUNTA('IT Service Tickets'!B:B)-2),"")</f>
        <v/>
      </c>
      <c r="C49" s="16">
        <f>IFERROR(INDEX('IT Service Tickets'!B:B,COUNTA('IT Service Tickets'!B:B)-2),"")</f>
        <v/>
      </c>
      <c r="D49" s="16">
        <f>IFERROR(INDEX('IT Service Tickets'!C:C,COUNTA('IT Service Tickets'!B:B)-2),"")</f>
        <v/>
      </c>
      <c r="E49" s="16">
        <f>IFERROR(INDEX('IT Service Tickets'!D:D,COUNTA('IT Service Tickets'!B:B)-2),"")</f>
        <v/>
      </c>
      <c r="F49" s="19">
        <f>IFERROR(INDEX('IT Service Tickets'!H:H,COUNTA('IT Service Tickets'!B:B)-2),"")</f>
        <v/>
      </c>
      <c r="H49" t="inlineStr">
        <is>
          <t>In Progress</t>
        </is>
      </c>
      <c r="I49" s="22" t="n"/>
    </row>
    <row r="50" ht="15" customHeight="1" s="36">
      <c r="B50" s="16">
        <f>IFERROR(INDEX('IT Service Tickets'!A:A,COUNTA('IT Service Tickets'!B:B)-3),"")</f>
        <v/>
      </c>
      <c r="C50" s="16">
        <f>IFERROR(INDEX('IT Service Tickets'!B:B,COUNTA('IT Service Tickets'!B:B)-3),"")</f>
        <v/>
      </c>
      <c r="D50" s="16">
        <f>IFERROR(INDEX('IT Service Tickets'!C:C,COUNTA('IT Service Tickets'!B:B)-3),"")</f>
        <v/>
      </c>
      <c r="E50" s="16">
        <f>IFERROR(INDEX('IT Service Tickets'!D:D,COUNTA('IT Service Tickets'!B:B)-3),"")</f>
        <v/>
      </c>
      <c r="F50" s="19">
        <f>IFERROR(INDEX('IT Service Tickets'!H:H,COUNTA('IT Service Tickets'!B:B)-3),"")</f>
        <v/>
      </c>
      <c r="H50" t="inlineStr">
        <is>
          <t>Waiting for Info</t>
        </is>
      </c>
      <c r="I50" s="23" t="n"/>
    </row>
    <row r="51" ht="15" customHeight="1" s="36">
      <c r="B51" s="16">
        <f>IFERROR(INDEX('IT Service Tickets'!A:A,COUNTA('IT Service Tickets'!B:B)-4),"")</f>
        <v/>
      </c>
      <c r="C51" s="16">
        <f>IFERROR(INDEX('IT Service Tickets'!B:B,COUNTA('IT Service Tickets'!B:B)-4),"")</f>
        <v/>
      </c>
      <c r="D51" s="16">
        <f>IFERROR(INDEX('IT Service Tickets'!C:C,COUNTA('IT Service Tickets'!B:B)-4),"")</f>
        <v/>
      </c>
      <c r="E51" s="16">
        <f>IFERROR(INDEX('IT Service Tickets'!D:D,COUNTA('IT Service Tickets'!B:B)-4),"")</f>
        <v/>
      </c>
      <c r="F51" s="19">
        <f>IFERROR(INDEX('IT Service Tickets'!H:H,COUNTA('IT Service Tickets'!B:B)-4),"")</f>
        <v/>
      </c>
    </row>
    <row r="52" ht="15" customHeight="1" s="36">
      <c r="H52" s="18" t="inlineStr">
        <is>
          <t>Priority</t>
        </is>
      </c>
    </row>
    <row r="53" ht="15" customHeight="1" s="36">
      <c r="H53" t="inlineStr">
        <is>
          <t>Critical</t>
        </is>
      </c>
      <c r="I53" s="24" t="n"/>
      <c r="J53" t="inlineStr">
        <is>
          <t>System-wide outages or issues affecting multiple users/locations simultaneously. Business operations are significantly impacted with no workaround available. (e.g., server down, ERP unavailable, major network outage)</t>
        </is>
      </c>
    </row>
    <row r="54" ht="15" customHeight="1" s="36">
      <c r="H54" t="inlineStr">
        <is>
          <t>High</t>
        </is>
      </c>
      <c r="I54" s="23" t="n"/>
      <c r="J54" t="inlineStr">
        <is>
          <t>Issues affecting key business functions or multiple users, but a workaround may exist. Needs resolution within 24-48 hours. (e.g., firewall issues, network problems at a location, critical hardware acquisition)</t>
        </is>
      </c>
    </row>
    <row r="55" ht="15" customHeight="1" s="36">
      <c r="H55" t="inlineStr">
        <is>
          <t>Medium</t>
        </is>
      </c>
      <c r="I55" s="22" t="n"/>
      <c r="J55" t="inlineStr">
        <is>
          <t>Issues affecting individual users or non-critical systems. Business can continue with some inconvenience. (e.g., software errors, documentation requests, website updates)</t>
        </is>
      </c>
    </row>
    <row r="56" ht="15" customHeight="1" s="36">
      <c r="H56" t="inlineStr">
        <is>
          <t>Low</t>
        </is>
      </c>
      <c r="I56" s="20" t="n"/>
      <c r="J56" t="inlineStr">
        <is>
          <t>Minor issues, standard requests, or tasks that don't impact daily operations. (e.g., permission changes, software installs, account setup, spam removal)</t>
        </is>
      </c>
    </row>
    <row r="58" ht="15" customHeight="1" s="36">
      <c r="H58" s="18" t="inlineStr">
        <is>
          <t>Days Open</t>
        </is>
      </c>
    </row>
    <row r="59" ht="15" customHeight="1" s="36">
      <c r="H59" t="inlineStr">
        <is>
          <t>&gt; 7 days (Alert)</t>
        </is>
      </c>
      <c r="I59" s="25" t="n"/>
    </row>
    <row r="60" ht="15" customHeight="1" s="36">
      <c r="H60" t="inlineStr">
        <is>
          <t>4-7 days (Warning)</t>
        </is>
      </c>
      <c r="I60" s="26" t="n"/>
    </row>
  </sheetData>
  <mergeCells count="2">
    <mergeCell ref="B3:I3"/>
    <mergeCell ref="B2:I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17"/>
  <sheetViews>
    <sheetView zoomScaleNormal="100" workbookViewId="0">
      <selection activeCell="A1" sqref="A1"/>
    </sheetView>
  </sheetViews>
  <sheetFormatPr baseColWidth="10" defaultColWidth="8.6640625" defaultRowHeight="15"/>
  <sheetData>
    <row r="1" ht="15" customHeight="1" s="36">
      <c r="A1" s="18" t="inlineStr">
        <is>
          <t>Status Options</t>
        </is>
      </c>
      <c r="B1" s="18" t="inlineStr">
        <is>
          <t>Priority Options</t>
        </is>
      </c>
      <c r="C1" s="18" t="inlineStr">
        <is>
          <t>Request Types</t>
        </is>
      </c>
      <c r="D1" s="18" t="inlineStr">
        <is>
          <t>Staff Options</t>
        </is>
      </c>
      <c r="F1" t="inlineStr">
        <is>
          <t>Current Year</t>
        </is>
      </c>
      <c r="G1" t="inlineStr">
        <is>
          <t>Today</t>
        </is>
      </c>
    </row>
    <row r="2" ht="15" customHeight="1" s="36">
      <c r="A2" t="inlineStr">
        <is>
          <t>Closed</t>
        </is>
      </c>
      <c r="B2" t="inlineStr">
        <is>
          <t>Critical</t>
        </is>
      </c>
      <c r="C2" t="inlineStr">
        <is>
          <t>Account Changes</t>
        </is>
      </c>
      <c r="D2" t="inlineStr">
        <is>
          <t>@Angel Pinzon</t>
        </is>
      </c>
      <c r="F2" t="n">
        <v>2025</v>
      </c>
      <c r="G2" s="29">
        <f>TODAY()</f>
        <v/>
      </c>
    </row>
    <row r="3" ht="15" customHeight="1" s="36">
      <c r="A3" t="inlineStr">
        <is>
          <t>Resolved</t>
        </is>
      </c>
      <c r="B3" t="inlineStr">
        <is>
          <t>High</t>
        </is>
      </c>
      <c r="C3" t="inlineStr">
        <is>
          <t>Account Setup</t>
        </is>
      </c>
      <c r="D3" t="inlineStr">
        <is>
          <t>@VC3</t>
        </is>
      </c>
    </row>
    <row r="4" ht="15" customHeight="1" s="36">
      <c r="A4" t="inlineStr">
        <is>
          <t>In Progress</t>
        </is>
      </c>
      <c r="B4" t="inlineStr">
        <is>
          <t>Medium</t>
        </is>
      </c>
      <c r="C4" t="inlineStr">
        <is>
          <t>Company Website Issues</t>
        </is>
      </c>
      <c r="D4" t="inlineStr">
        <is>
          <t>@Angel Pinzon @VC3</t>
        </is>
      </c>
    </row>
    <row r="5" ht="15" customHeight="1" s="36">
      <c r="A5" t="inlineStr">
        <is>
          <t>Waiting for Info</t>
        </is>
      </c>
      <c r="B5" t="inlineStr">
        <is>
          <t>Low</t>
        </is>
      </c>
      <c r="C5" t="inlineStr">
        <is>
          <t>Documentation Request</t>
        </is>
      </c>
      <c r="D5" t="inlineStr">
        <is>
          <t>@Angel Pinzon @Manuel Menchaca</t>
        </is>
      </c>
    </row>
    <row r="6" ht="15" customHeight="1" s="36">
      <c r="C6" t="inlineStr">
        <is>
          <t>Email Issues</t>
        </is>
      </c>
    </row>
    <row r="7" ht="15" customHeight="1" s="36">
      <c r="C7" t="inlineStr">
        <is>
          <t>Feedback Request</t>
        </is>
      </c>
    </row>
    <row r="8" ht="15" customHeight="1" s="36">
      <c r="C8" t="inlineStr">
        <is>
          <t>Hardware Adquisition</t>
        </is>
      </c>
    </row>
    <row r="9" ht="15" customHeight="1" s="36">
      <c r="C9" t="inlineStr">
        <is>
          <t>Hardware Setup</t>
        </is>
      </c>
    </row>
    <row r="10" ht="15" customHeight="1" s="36">
      <c r="C10" t="inlineStr">
        <is>
          <t>Network Problems</t>
        </is>
      </c>
    </row>
    <row r="11" ht="15" customHeight="1" s="36">
      <c r="C11" t="inlineStr">
        <is>
          <t>Permission Changes</t>
        </is>
      </c>
    </row>
    <row r="12" ht="15" customHeight="1" s="36">
      <c r="C12" t="inlineStr">
        <is>
          <t>Server Issues</t>
        </is>
      </c>
    </row>
    <row r="13" ht="15" customHeight="1" s="36">
      <c r="C13" t="inlineStr">
        <is>
          <t>Software Acquisition</t>
        </is>
      </c>
    </row>
    <row r="14" ht="15" customHeight="1" s="36">
      <c r="C14" t="inlineStr">
        <is>
          <t>Software Issues</t>
        </is>
      </c>
    </row>
    <row r="15" ht="15" customHeight="1" s="36">
      <c r="C15" t="inlineStr">
        <is>
          <t>Software Setup</t>
        </is>
      </c>
    </row>
    <row r="16" ht="15" customHeight="1" s="36">
      <c r="C16" t="inlineStr">
        <is>
          <t>Spam Removal</t>
        </is>
      </c>
    </row>
    <row r="17" ht="15" customHeight="1" s="36">
      <c r="C17" t="inlineStr">
        <is>
          <t>System Access</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K501"/>
  <sheetViews>
    <sheetView zoomScaleNormal="100" workbookViewId="0">
      <pane ySplit="1" topLeftCell="A2" activePane="bottomLeft" state="frozen"/>
      <selection pane="bottomLeft" activeCell="F38" sqref="F38"/>
    </sheetView>
  </sheetViews>
  <sheetFormatPr baseColWidth="10" defaultColWidth="8.6640625" defaultRowHeight="15"/>
  <cols>
    <col width="14" customWidth="1" style="36" min="1" max="1"/>
    <col width="50" customWidth="1" style="36" min="2" max="2"/>
    <col width="16" customWidth="1" style="36" min="3" max="3"/>
    <col width="12" customWidth="1" style="36" min="4" max="4"/>
    <col width="22" customWidth="1" style="36" min="5" max="5"/>
    <col width="28" customWidth="1" style="36" min="6" max="6"/>
    <col width="22" customWidth="1" style="36" min="7" max="7"/>
    <col width="12" customWidth="1" style="36" min="8" max="8"/>
    <col width="11" customWidth="1" style="36" min="9" max="9"/>
    <col width="55" customWidth="1" style="36" min="10" max="11"/>
  </cols>
  <sheetData>
    <row r="1" ht="30" customHeight="1" s="36">
      <c r="A1" s="30" t="inlineStr">
        <is>
          <t>Ticket ID</t>
        </is>
      </c>
      <c r="B1" s="30" t="inlineStr">
        <is>
          <t>Ticket Title</t>
        </is>
      </c>
      <c r="C1" s="30" t="inlineStr">
        <is>
          <t>Status</t>
        </is>
      </c>
      <c r="D1" s="30" t="inlineStr">
        <is>
          <t>Priority</t>
        </is>
      </c>
      <c r="E1" s="30" t="inlineStr">
        <is>
          <t>Request Type</t>
        </is>
      </c>
      <c r="F1" s="30" t="inlineStr">
        <is>
          <t>Staff Assigned</t>
        </is>
      </c>
      <c r="G1" s="30" t="inlineStr">
        <is>
          <t>Requester</t>
        </is>
      </c>
      <c r="H1" s="30" t="inlineStr">
        <is>
          <t>Date</t>
        </is>
      </c>
      <c r="I1" s="30" t="inlineStr">
        <is>
          <t>Days Open</t>
        </is>
      </c>
      <c r="J1" s="30" t="inlineStr">
        <is>
          <t>Description</t>
        </is>
      </c>
      <c r="K1" s="30" t="inlineStr">
        <is>
          <t>Resolution Notes</t>
        </is>
      </c>
    </row>
    <row r="2" ht="45" customHeight="1" s="36">
      <c r="A2" s="31">
        <f>IF(B2="","","IT-"&amp;Setup!$F$2&amp;TEXT(ROW()-1,"0000"))</f>
        <v/>
      </c>
      <c r="B2" s="32" t="inlineStr">
        <is>
          <t>Issues with CA-ProductionLaptop</t>
        </is>
      </c>
      <c r="C2" s="33" t="inlineStr">
        <is>
          <t>Closed</t>
        </is>
      </c>
      <c r="D2" s="33" t="inlineStr">
        <is>
          <t>Medium</t>
        </is>
      </c>
      <c r="E2" s="32" t="inlineStr">
        <is>
          <t>Software Issues</t>
        </is>
      </c>
      <c r="F2" s="32" t="inlineStr">
        <is>
          <t>@Angel Pinzon</t>
        </is>
      </c>
      <c r="G2" s="32" t="inlineStr">
        <is>
          <t>Leonel Ramirez</t>
        </is>
      </c>
      <c r="H2" s="34" t="n">
        <v>45999</v>
      </c>
      <c r="I2" s="31">
        <f>IF(OR(H2="",B2=""),"",IF(OR(C2="Closed",C2="Resolved"),"-",Setup!$G$2-H2))</f>
        <v/>
      </c>
      <c r="J2" s="32" t="inlineStr">
        <is>
          <t>Leonel Informed production laptop was not working</t>
        </is>
      </c>
      <c r="K2" s="32" t="inlineStr">
        <is>
          <t>Issue related with the machine #6 and fixed by Julio, not the computer, now working properly.</t>
        </is>
      </c>
    </row>
    <row r="3" ht="45" customHeight="1" s="36">
      <c r="A3" s="31">
        <f>IF(B3="","","IT-"&amp;Setup!$F$2&amp;TEXT(ROW()-1,"0000"))</f>
        <v/>
      </c>
      <c r="B3" s="32" t="inlineStr">
        <is>
          <t>Risk Matrix of MSP Transition</t>
        </is>
      </c>
      <c r="C3" s="33" t="inlineStr">
        <is>
          <t>Closed</t>
        </is>
      </c>
      <c r="D3" s="33" t="inlineStr">
        <is>
          <t>Medium</t>
        </is>
      </c>
      <c r="E3" s="32" t="inlineStr">
        <is>
          <t>Documentation Request</t>
        </is>
      </c>
      <c r="F3" s="32" t="inlineStr">
        <is>
          <t xml:space="preserve">@Angel Pinzon </t>
        </is>
      </c>
      <c r="G3" s="32" t="inlineStr">
        <is>
          <t>Mariana Orozco</t>
        </is>
      </c>
      <c r="H3" s="34" t="n">
        <v>45996</v>
      </c>
      <c r="I3" s="31">
        <f>IF(OR(H3="",B3=""),"",IF(OR(C3="Closed",C3="Resolved"),"-",Setup!$G$2-H3))</f>
        <v/>
      </c>
      <c r="J3" s="32" t="inlineStr">
        <is>
          <t>Provide risk matrix documentation for MSP transition</t>
        </is>
      </c>
      <c r="K3" s="32" t="inlineStr">
        <is>
          <t>Documentation provided, waiting on feedback</t>
        </is>
      </c>
    </row>
    <row r="4" ht="45" customHeight="1" s="36">
      <c r="A4" s="31">
        <f>IF(B4="","","IT-"&amp;Setup!$F$2&amp;TEXT(ROW()-1,"0000"))</f>
        <v/>
      </c>
      <c r="B4" s="32" t="inlineStr">
        <is>
          <t>Adobe Acrobat Error</t>
        </is>
      </c>
      <c r="C4" s="33" t="inlineStr">
        <is>
          <t>Closed</t>
        </is>
      </c>
      <c r="D4" s="33" t="inlineStr">
        <is>
          <t>Low</t>
        </is>
      </c>
      <c r="E4" s="32" t="inlineStr">
        <is>
          <t>Software Issues</t>
        </is>
      </c>
      <c r="F4" s="32" t="inlineStr">
        <is>
          <t>@Angel Pinzon @VC3</t>
        </is>
      </c>
      <c r="G4" s="32" t="inlineStr">
        <is>
          <t>Angelina Solis</t>
        </is>
      </c>
      <c r="H4" s="34" t="n">
        <v>45996</v>
      </c>
      <c r="I4" s="31">
        <f>IF(OR(H4="",B4=""),"",IF(OR(C4="Closed",C4="Resolved"),"-",Setup!$G$2-H4))</f>
        <v/>
      </c>
      <c r="J4" s="32" t="inlineStr">
        <is>
          <t>Adobe has been giving me problems today, off and on. Sometimes I can print, while other times it freezes &amp; this message pops up (at a much later time). Can you please help?</t>
        </is>
      </c>
      <c r="K4" s="32" t="inlineStr">
        <is>
          <t>Waiting for more information</t>
        </is>
      </c>
    </row>
    <row r="5" ht="45" customHeight="1" s="36">
      <c r="A5" s="31">
        <f>IF(B5="","","IT-"&amp;Setup!$F$2&amp;TEXT(ROW()-1,"0000"))</f>
        <v/>
      </c>
      <c r="B5" s="32" t="inlineStr">
        <is>
          <t>PHP Update - Company Website</t>
        </is>
      </c>
      <c r="C5" s="33" t="inlineStr">
        <is>
          <t>Resolved</t>
        </is>
      </c>
      <c r="D5" s="33" t="inlineStr">
        <is>
          <t>Medium</t>
        </is>
      </c>
      <c r="E5" s="32" t="inlineStr">
        <is>
          <t>Company Website Issues</t>
        </is>
      </c>
      <c r="F5" s="32" t="inlineStr">
        <is>
          <t>@Angel Pinzon</t>
        </is>
      </c>
      <c r="G5" s="32" t="inlineStr">
        <is>
          <t>Manuel Menchaca</t>
        </is>
      </c>
      <c r="H5" s="34" t="n">
        <v>45996</v>
      </c>
      <c r="I5" s="31">
        <f>IF(OR(H5="",B5=""),"",IF(OR(C5="Closed",C5="Resolved"),"-",Setup!$G$2-H5))</f>
        <v/>
      </c>
      <c r="J5" s="32" t="inlineStr">
        <is>
          <t>Company Website PHP needed to be upgraded to avoid older version maintenance fee charge ($71/mo)</t>
        </is>
      </c>
      <c r="K5" s="32" t="inlineStr">
        <is>
          <t>Accessed GoDaddy cAdmin Panel, upgraded PHP to version 8.4 reenable plug-ins to host company website accordingly.</t>
        </is>
      </c>
    </row>
    <row r="6" ht="45" customHeight="1" s="36">
      <c r="A6" s="31">
        <f>IF(B6="","","IT-"&amp;Setup!$F$2&amp;TEXT(ROW()-1,"0000"))</f>
        <v/>
      </c>
      <c r="B6" s="32" t="inlineStr">
        <is>
          <t>Printer setup for GA Production Manager</t>
        </is>
      </c>
      <c r="C6" s="33" t="inlineStr">
        <is>
          <t>Closed</t>
        </is>
      </c>
      <c r="D6" s="33" t="inlineStr">
        <is>
          <t>Low</t>
        </is>
      </c>
      <c r="E6" s="32" t="inlineStr">
        <is>
          <t>Hardware Setup</t>
        </is>
      </c>
      <c r="F6" s="32" t="inlineStr">
        <is>
          <t xml:space="preserve">@Angel Pinzon </t>
        </is>
      </c>
      <c r="G6" s="32" t="inlineStr">
        <is>
          <t>Mario Carter</t>
        </is>
      </c>
      <c r="H6" s="34" t="n">
        <v>45995</v>
      </c>
      <c r="I6" s="31">
        <f>IF(OR(H6="",B6=""),"",IF(OR(C6="Closed",C6="Resolved"),"-",Setup!$G$2-H6))</f>
        <v/>
      </c>
      <c r="J6" s="32" t="inlineStr">
        <is>
          <t>Mario needs help to install his new printer in the server as well as his computer</t>
        </is>
      </c>
      <c r="K6" s="32" t="inlineStr">
        <is>
          <t>Had a call with Mario, show him how to get the printer installed, he was able to confirm it works</t>
        </is>
      </c>
    </row>
    <row r="7" ht="45" customHeight="1" s="36">
      <c r="A7" s="31">
        <f>IF(B7="","","IT-"&amp;Setup!$F$2&amp;TEXT(ROW()-1,"0000"))</f>
        <v/>
      </c>
      <c r="B7" s="32" t="inlineStr">
        <is>
          <t>WallnerExpac/Unable to sign into domain profile in wifi connection | SSID WE | Texas location</t>
        </is>
      </c>
      <c r="C7" s="33" t="inlineStr">
        <is>
          <t>Resolved</t>
        </is>
      </c>
      <c r="D7" s="33" t="inlineStr">
        <is>
          <t>High</t>
        </is>
      </c>
      <c r="E7" s="32" t="inlineStr">
        <is>
          <t>Network Problems</t>
        </is>
      </c>
      <c r="F7" s="32" t="inlineStr">
        <is>
          <t>@VC3</t>
        </is>
      </c>
      <c r="G7" s="32" t="inlineStr">
        <is>
          <t>Paula Jenkins</t>
        </is>
      </c>
      <c r="H7" s="34" t="n">
        <v>45995</v>
      </c>
      <c r="I7" s="31">
        <f>IF(OR(H7="",B7=""),"",IF(OR(C7="Closed",C7="Resolved"),"-",Setup!$G$2-H7))</f>
        <v/>
      </c>
      <c r="J7" s="32" t="inlineStr">
        <is>
          <t>Firewall giving issues affecting VPN connectivity.</t>
        </is>
      </c>
      <c r="K7" s="32" t="inlineStr">
        <is>
          <t>Hi Team,
I have wrapped up part of the issues seen. Windstream was (finally) able to resolve the TX side being stuck on the cellular backup, as well as the primary link in California being down. I have requested that a client relations manager from windstream review the case to see about issuing a credit for the delay in repairs on their end.
I have another ticket open with them to address the wifi in TX reaching the domain controller and should have that resolved soon.
Thanks!
Blake Keeffe
Senior Systems Engineer</t>
        </is>
      </c>
    </row>
    <row r="8" ht="45" customHeight="1" s="36">
      <c r="A8" s="31">
        <f>IF(B8="","","IT-"&amp;Setup!$F$2&amp;TEXT(ROW()-1,"0000"))</f>
        <v/>
      </c>
      <c r="B8" s="32" t="inlineStr">
        <is>
          <t>Epicor Deployment URI not available</t>
        </is>
      </c>
      <c r="C8" s="33" t="inlineStr">
        <is>
          <t>In Progress</t>
        </is>
      </c>
      <c r="D8" s="33" t="inlineStr">
        <is>
          <t>High</t>
        </is>
      </c>
      <c r="E8" s="32" t="inlineStr">
        <is>
          <t>Server Issues</t>
        </is>
      </c>
      <c r="F8" s="32" t="inlineStr">
        <is>
          <t>@VC3</t>
        </is>
      </c>
      <c r="G8" s="32" t="inlineStr">
        <is>
          <t>Monica Lopez</t>
        </is>
      </c>
      <c r="H8" s="34" t="n">
        <v>45995</v>
      </c>
      <c r="I8" s="31">
        <f>IF(OR(H8="",B8=""),"",IF(OR(C8="Closed",C8="Resolved"),"-",Setup!$G$2-H8))</f>
        <v/>
      </c>
      <c r="J8" s="32" t="inlineStr">
        <is>
          <t>We are reaching out regarding a recurring issue with Epicor client deployments: "deployment URI is not available on that specific client." This error has occurred multiple times across our environment</t>
        </is>
      </c>
      <c r="K8" s="32" t="inlineStr">
        <is>
          <t>Hello Team,Thanks for forwarding the information you gave me on 11/24 about this.After further investigation the log on the host where Epicor is running had a power loss event meaning the UPS that powers it stopped getting power from the wall socket, causing the APC software to shut down the virtual servers involved w/ Epicor.</t>
        </is>
      </c>
    </row>
    <row r="9" ht="45" customHeight="1" s="36">
      <c r="A9" s="31">
        <f>IF(B9="","","IT-"&amp;Setup!$F$2&amp;TEXT(ROW()-1,"0000"))</f>
        <v/>
      </c>
      <c r="B9" s="32" t="inlineStr">
        <is>
          <t xml:space="preserve">Desktop UPS needed for switch </t>
        </is>
      </c>
      <c r="C9" s="33" t="inlineStr">
        <is>
          <t>Closed</t>
        </is>
      </c>
      <c r="D9" s="33" t="inlineStr">
        <is>
          <t>High</t>
        </is>
      </c>
      <c r="E9" s="32" t="inlineStr">
        <is>
          <t>Hardware Adquisition</t>
        </is>
      </c>
      <c r="F9" s="32" t="inlineStr">
        <is>
          <t xml:space="preserve">@Angel Pinzon </t>
        </is>
      </c>
      <c r="G9" s="32" t="inlineStr">
        <is>
          <t>VC3</t>
        </is>
      </c>
      <c r="H9" s="34" t="n">
        <v>45994</v>
      </c>
      <c r="I9" s="31">
        <f>IF(OR(H9="",B9=""),"",IF(OR(C9="Closed",C9="Resolved"),"-",Setup!$G$2-H9))</f>
        <v/>
      </c>
      <c r="J9" s="32" t="inlineStr">
        <is>
          <t>Desktop UPS needed for switch in GA</t>
        </is>
      </c>
      <c r="K9" s="32" t="inlineStr">
        <is>
          <t>Quote Approved, waiting on hardware installation</t>
        </is>
      </c>
    </row>
    <row r="10" ht="45" customHeight="1" s="36">
      <c r="A10" s="31">
        <f>IF(B10="","","IT-"&amp;Setup!$F$2&amp;TEXT(ROW()-1,"0000"))</f>
        <v/>
      </c>
      <c r="B10" s="32" t="inlineStr">
        <is>
          <t xml:space="preserve">Watchguard Firewalls Renewal </t>
        </is>
      </c>
      <c r="C10" s="33" t="inlineStr">
        <is>
          <t>Closed</t>
        </is>
      </c>
      <c r="D10" s="33" t="inlineStr">
        <is>
          <t>High</t>
        </is>
      </c>
      <c r="E10" s="32" t="inlineStr">
        <is>
          <t>Software Acquisition</t>
        </is>
      </c>
      <c r="F10" s="32" t="inlineStr">
        <is>
          <t xml:space="preserve">@Angel Pinzon </t>
        </is>
      </c>
      <c r="G10" s="32" t="inlineStr">
        <is>
          <t>VC3</t>
        </is>
      </c>
      <c r="H10" s="34" t="n">
        <v>45994</v>
      </c>
      <c r="I10" s="31">
        <f>IF(OR(H10="",B10=""),"",IF(OR(C10="Closed",C10="Resolved"),"-",Setup!$G$2-H10))</f>
        <v/>
      </c>
      <c r="J10" s="32" t="inlineStr">
        <is>
          <t>Firewall Renewal for all locations</t>
        </is>
      </c>
      <c r="K10" s="32" t="inlineStr">
        <is>
          <t>Quote Approved</t>
        </is>
      </c>
    </row>
    <row r="11" ht="45" customHeight="1" s="36">
      <c r="A11" s="31">
        <f>IF(B11="","","IT-"&amp;Setup!$F$2&amp;TEXT(ROW()-1,"0000"))</f>
        <v/>
      </c>
      <c r="B11" s="32" t="inlineStr">
        <is>
          <t>Request to Disable Account</t>
        </is>
      </c>
      <c r="C11" s="33" t="inlineStr">
        <is>
          <t>Resolved</t>
        </is>
      </c>
      <c r="D11" s="33" t="inlineStr">
        <is>
          <t>Low</t>
        </is>
      </c>
      <c r="E11" s="32" t="inlineStr">
        <is>
          <t>Account Changes</t>
        </is>
      </c>
      <c r="F11" s="32" t="inlineStr">
        <is>
          <t>@VC3</t>
        </is>
      </c>
      <c r="G11" s="32" t="inlineStr">
        <is>
          <t>Paula Jenkins</t>
        </is>
      </c>
      <c r="H11" s="34" t="n">
        <v>45994</v>
      </c>
      <c r="I11" s="31">
        <f>IF(OR(H11="",B11=""),"",IF(OR(C11="Closed",C11="Resolved"),"-",Setup!$G$2-H11))</f>
        <v/>
      </c>
      <c r="J11" s="32" t="inlineStr">
        <is>
          <t>Request to disable Lisa Hayes account</t>
        </is>
      </c>
      <c r="K11" s="32" t="inlineStr">
        <is>
          <t>Was handled by VC3, account deactivated.</t>
        </is>
      </c>
    </row>
    <row r="12" ht="45" customHeight="1" s="36">
      <c r="A12" s="31">
        <f>IF(B12="","","IT-"&amp;Setup!$F$2&amp;TEXT(ROW()-1,"0000"))</f>
        <v/>
      </c>
      <c r="B12" s="32" t="inlineStr">
        <is>
          <t>E-Drawings Install Request</t>
        </is>
      </c>
      <c r="C12" s="33" t="inlineStr">
        <is>
          <t>Resolved</t>
        </is>
      </c>
      <c r="D12" s="33" t="inlineStr">
        <is>
          <t>Low</t>
        </is>
      </c>
      <c r="E12" s="32" t="inlineStr">
        <is>
          <t>Software Setup</t>
        </is>
      </c>
      <c r="F12" s="32" t="inlineStr">
        <is>
          <t>@Angel Pinzon @VC3</t>
        </is>
      </c>
      <c r="G12" s="32" t="inlineStr">
        <is>
          <t>Cody Baer</t>
        </is>
      </c>
      <c r="H12" s="34" t="n">
        <v>45993</v>
      </c>
      <c r="I12" s="31">
        <f>IF(OR(H12="",B12=""),"",IF(OR(C12="Closed",C12="Resolved"),"-",Setup!$G$2-H12))</f>
        <v/>
      </c>
      <c r="J12" s="32" t="inlineStr">
        <is>
          <t>Cody requested E-drawings to be installed in his computer</t>
        </is>
      </c>
      <c r="K12" s="32" t="inlineStr">
        <is>
          <t>Ticket was opened and software was installed by VC3</t>
        </is>
      </c>
    </row>
    <row r="13" ht="45" customHeight="1" s="36">
      <c r="A13" s="31">
        <f>IF(B13="","","IT-"&amp;Setup!$F$2&amp;TEXT(ROW()-1,"0000"))</f>
        <v/>
      </c>
      <c r="B13" s="32" t="inlineStr">
        <is>
          <t>Spam Removal</t>
        </is>
      </c>
      <c r="C13" s="33" t="inlineStr">
        <is>
          <t>Closed</t>
        </is>
      </c>
      <c r="D13" s="33" t="inlineStr">
        <is>
          <t>Low</t>
        </is>
      </c>
      <c r="E13" s="32" t="inlineStr">
        <is>
          <t>Spam Removal</t>
        </is>
      </c>
      <c r="F13" s="32" t="inlineStr">
        <is>
          <t>@VC3</t>
        </is>
      </c>
      <c r="G13" s="32" t="inlineStr">
        <is>
          <t xml:space="preserve">Paul Omness </t>
        </is>
      </c>
      <c r="H13" s="34" t="n">
        <v>45993</v>
      </c>
      <c r="I13" s="31">
        <f>IF(OR(H13="",B13=""),"",IF(OR(C13="Closed",C13="Resolved"),"-",Setup!$G$2-H13))</f>
        <v/>
      </c>
      <c r="J13" s="32" t="inlineStr">
        <is>
          <t>Paul asked help to get this spam blocked</t>
        </is>
      </c>
      <c r="K13" s="32" t="inlineStr">
        <is>
          <t>VC3 went ahead and got the email adress blocked</t>
        </is>
      </c>
    </row>
    <row r="14" ht="45" customHeight="1" s="36">
      <c r="A14" s="31">
        <f>IF(B14="","","IT-"&amp;Setup!$F$2&amp;TEXT(ROW()-1,"0000"))</f>
        <v/>
      </c>
      <c r="B14" s="32" t="inlineStr">
        <is>
          <t>Mobile Mail Setup for GA Production Manager</t>
        </is>
      </c>
      <c r="C14" s="33" t="inlineStr">
        <is>
          <t>Closed</t>
        </is>
      </c>
      <c r="D14" s="33" t="inlineStr">
        <is>
          <t>Low</t>
        </is>
      </c>
      <c r="E14" s="32" t="inlineStr">
        <is>
          <t>Software Setup</t>
        </is>
      </c>
      <c r="F14" s="32" t="inlineStr">
        <is>
          <t xml:space="preserve">@Angel Pinzon </t>
        </is>
      </c>
      <c r="G14" s="32" t="inlineStr">
        <is>
          <t xml:space="preserve">Mario Carter </t>
        </is>
      </c>
      <c r="H14" s="34" t="n">
        <v>45993</v>
      </c>
      <c r="I14" s="31">
        <f>IF(OR(H14="",B14=""),"",IF(OR(C14="Closed",C14="Resolved"),"-",Setup!$G$2-H14))</f>
        <v/>
      </c>
      <c r="J14" s="32" t="inlineStr">
        <is>
          <t>Mario called asking for help to set up his work email on his phone</t>
        </is>
      </c>
      <c r="K14" s="32" t="inlineStr">
        <is>
          <t>Gave instructions to Mario on how to set up his work email on his company phone, later he confirmed it works.</t>
        </is>
      </c>
    </row>
    <row r="15" ht="45" customHeight="1" s="36">
      <c r="A15" s="31">
        <f>IF(B15="","","IT-"&amp;Setup!$F$2&amp;TEXT(ROW()-1,"0000"))</f>
        <v/>
      </c>
      <c r="B15" s="32" t="inlineStr">
        <is>
          <t>Folder Path Permission - RAvila@expac.com</t>
        </is>
      </c>
      <c r="C15" s="33" t="inlineStr">
        <is>
          <t>Closed</t>
        </is>
      </c>
      <c r="D15" s="33" t="inlineStr">
        <is>
          <t>Low</t>
        </is>
      </c>
      <c r="E15" s="32" t="inlineStr">
        <is>
          <t>Permission Changes</t>
        </is>
      </c>
      <c r="F15" s="32" t="inlineStr">
        <is>
          <t>@VC3</t>
        </is>
      </c>
      <c r="G15" s="32" t="inlineStr">
        <is>
          <t>Monica Lopez</t>
        </is>
      </c>
      <c r="H15" s="34" t="n">
        <v>45992</v>
      </c>
      <c r="I15" s="31">
        <f>IF(OR(H15="",B15=""),"",IF(OR(C15="Closed",C15="Resolved"),"-",Setup!$G$2-H15))</f>
        <v/>
      </c>
      <c r="J15" s="32" t="inlineStr">
        <is>
          <t>Monica requested permission changes for RAvila@expac.com</t>
        </is>
      </c>
      <c r="K15" s="32" t="inlineStr">
        <is>
          <t>IT form was send, and new permissions were enable by VC3</t>
        </is>
      </c>
    </row>
    <row r="16" ht="45" customHeight="1" s="36">
      <c r="A16" s="31">
        <f>IF(B16="","","IT-"&amp;Setup!$F$2&amp;TEXT(ROW()-1,"0000"))</f>
        <v/>
      </c>
      <c r="B16" s="32" t="inlineStr">
        <is>
          <t>PRTG-02 Alert: WallnerGA-ISP-SW01 - Ping (Ping)</t>
        </is>
      </c>
      <c r="C16" s="33" t="inlineStr">
        <is>
          <t>In Progress</t>
        </is>
      </c>
      <c r="D16" s="33" t="inlineStr">
        <is>
          <t>High</t>
        </is>
      </c>
      <c r="E16" s="32" t="inlineStr">
        <is>
          <t>Network Problems</t>
        </is>
      </c>
      <c r="F16" s="32" t="inlineStr">
        <is>
          <t>@VC3</t>
        </is>
      </c>
      <c r="G16" s="32" t="inlineStr">
        <is>
          <t>VC3</t>
        </is>
      </c>
      <c r="H16" s="34" t="n">
        <v>45990</v>
      </c>
      <c r="I16" s="31">
        <f>IF(OR(H16="",B16=""),"",IF(OR(C16="Closed",C16="Resolved"),"-",Setup!$G$2-H16))</f>
        <v/>
      </c>
      <c r="J16" s="32" t="inlineStr">
        <is>
          <t>We've lost contact with the Firewall located at the Ontario office including the switches. It's not caused by a power outage or your Internet Service Provider which we did a follow up with them.It will be needed to check if the Rack Mount has power / need a power cycle. I would suggest to start power cycling the firewall and see if the communication with the switches are getting back up.</t>
        </is>
      </c>
      <c r="K16" s="32" t="inlineStr">
        <is>
          <t>Onsite visit was done, check status of server, everything seems to be in order, will keep an eye on it</t>
        </is>
      </c>
    </row>
    <row r="17" ht="45" customHeight="1" s="36">
      <c r="A17" s="31">
        <f>IF(B17="","","IT-"&amp;Setup!$F$2&amp;TEXT(ROW()-1,"0000"))</f>
        <v/>
      </c>
      <c r="B17" s="32" t="inlineStr">
        <is>
          <t>Ticket#4688037/WallnerExpac/User Georgia Shipping not showing up in user count list/contacts</t>
        </is>
      </c>
      <c r="C17" s="33" t="inlineStr">
        <is>
          <t>Closed</t>
        </is>
      </c>
      <c r="D17" s="33" t="inlineStr">
        <is>
          <t>Low</t>
        </is>
      </c>
      <c r="E17" s="32" t="inlineStr">
        <is>
          <t>Software Issues</t>
        </is>
      </c>
      <c r="F17" s="32" t="inlineStr">
        <is>
          <t>@VC3</t>
        </is>
      </c>
      <c r="G17" s="32" t="inlineStr">
        <is>
          <t>VC3</t>
        </is>
      </c>
      <c r="H17" s="34" t="n">
        <v>45986</v>
      </c>
      <c r="I17" s="31">
        <f>IF(OR(H17="",B17=""),"",IF(OR(C17="Closed",C17="Resolved"),"-",Setup!$G$2-H17))</f>
        <v/>
      </c>
      <c r="J17" s="32" t="inlineStr">
        <is>
          <t>There seems to have been a glitch of some sort that was kicking back the contact it was stuck in limbo of sorts, but they fixed it and it is now part of the user list.</t>
        </is>
      </c>
      <c r="K17" s="32" t="inlineStr">
        <is>
          <t>VC3 says it was a glitch on their end and that is now fixed.</t>
        </is>
      </c>
    </row>
    <row r="18" ht="45" customHeight="1" s="36">
      <c r="A18" s="31">
        <f>IF(B18="","","IT-"&amp;Setup!$F$2&amp;TEXT(ROW()-1,"0000"))</f>
        <v/>
      </c>
      <c r="B18" s="32" t="inlineStr">
        <is>
          <t>User Access Adjustment - TTimbs@expac.com</t>
        </is>
      </c>
      <c r="C18" s="33" t="inlineStr">
        <is>
          <t>Closed</t>
        </is>
      </c>
      <c r="D18" s="33" t="inlineStr">
        <is>
          <t>Low</t>
        </is>
      </c>
      <c r="E18" s="32" t="inlineStr">
        <is>
          <t>Permission Changes</t>
        </is>
      </c>
      <c r="F18" s="32" t="inlineStr">
        <is>
          <t>@Angel Pinzon @VC3</t>
        </is>
      </c>
      <c r="G18" s="32" t="inlineStr">
        <is>
          <t>Deserie Ayala</t>
        </is>
      </c>
      <c r="H18" s="34" t="n">
        <v>45986</v>
      </c>
      <c r="I18" s="31">
        <f>IF(OR(H18="",B18=""),"",IF(OR(C18="Closed",C18="Resolved"),"-",Setup!$G$2-H18))</f>
        <v/>
      </c>
      <c r="J18" s="32" t="inlineStr">
        <is>
          <t>Manager requested access to certain marketing folders</t>
        </is>
      </c>
      <c r="K18" s="32" t="inlineStr">
        <is>
          <t xml:space="preserve">Contacted Marketing Manager, confirmed the permissions and folders needed, opened a ticket with VC3, they granted the access requested. </t>
        </is>
      </c>
    </row>
    <row r="19" ht="45" customHeight="1" s="36">
      <c r="A19" s="31">
        <f>IF(B19="","","IT-"&amp;Setup!$F$2&amp;TEXT(ROW()-1,"0000"))</f>
        <v/>
      </c>
      <c r="B19" s="32" t="inlineStr">
        <is>
          <t>File Access - DAyala@expac.com</t>
        </is>
      </c>
      <c r="C19" s="33" t="inlineStr">
        <is>
          <t>Closed</t>
        </is>
      </c>
      <c r="D19" s="33" t="inlineStr">
        <is>
          <t>Low</t>
        </is>
      </c>
      <c r="E19" s="32" t="inlineStr">
        <is>
          <t>Permission Changes</t>
        </is>
      </c>
      <c r="F19" s="32" t="inlineStr">
        <is>
          <t>@Angel Pinzon @VC3</t>
        </is>
      </c>
      <c r="G19" s="32" t="inlineStr">
        <is>
          <t>Deserie Ayala</t>
        </is>
      </c>
      <c r="H19" s="34" t="n">
        <v>45986</v>
      </c>
      <c r="I19" s="31">
        <f>IF(OR(H19="",B19=""),"",IF(OR(C19="Closed",C19="Resolved"),"-",Setup!$G$2-H19))</f>
        <v/>
      </c>
      <c r="J19" s="32" t="inlineStr">
        <is>
          <t>Manager requested access to certain marketing folders</t>
        </is>
      </c>
      <c r="K19" s="32" t="inlineStr">
        <is>
          <t xml:space="preserve">Contacted Marketing Manager, confirmed the permissions and folders needed, opened a ticket with VC3, they granted the access requested. </t>
        </is>
      </c>
    </row>
    <row r="20" ht="45" customHeight="1" s="36">
      <c r="A20" s="31">
        <f>IF(B20="","","IT-"&amp;Setup!$F$2&amp;TEXT(ROW()-1,"0000"))</f>
        <v/>
      </c>
      <c r="B20" s="32" t="inlineStr">
        <is>
          <t>User Access Adjustment - thuegel@expac.com</t>
        </is>
      </c>
      <c r="C20" s="33" t="inlineStr">
        <is>
          <t>Closed</t>
        </is>
      </c>
      <c r="D20" s="33" t="inlineStr">
        <is>
          <t>Low</t>
        </is>
      </c>
      <c r="E20" s="32" t="inlineStr">
        <is>
          <t>Permission Changes</t>
        </is>
      </c>
      <c r="F20" s="32" t="inlineStr">
        <is>
          <t>@Angel Pinzon @VC3</t>
        </is>
      </c>
      <c r="G20" s="32" t="inlineStr">
        <is>
          <t>Deserie Ayala</t>
        </is>
      </c>
      <c r="H20" s="34" t="n">
        <v>45986</v>
      </c>
      <c r="I20" s="31">
        <f>IF(OR(H20="",B20=""),"",IF(OR(C20="Closed",C20="Resolved"),"-",Setup!$G$2-H20))</f>
        <v/>
      </c>
      <c r="J20" s="32" t="inlineStr">
        <is>
          <t>Manager requested access to certain marketing folders</t>
        </is>
      </c>
      <c r="K20" s="32" t="inlineStr">
        <is>
          <t>Contacted Marketing Manager, confirmed the permissions and folders needed, opened a ticket with VC3, they granted the access requested.</t>
        </is>
      </c>
    </row>
    <row r="21" ht="45" customHeight="1" s="36">
      <c r="A21" s="31">
        <f>IF(B21="","","IT-"&amp;Setup!$F$2&amp;TEXT(ROW()-1,"0000"))</f>
        <v/>
      </c>
      <c r="B21" s="32" t="inlineStr">
        <is>
          <t>Workflow creations for IT role</t>
        </is>
      </c>
      <c r="C21" s="33" t="inlineStr">
        <is>
          <t>Closed</t>
        </is>
      </c>
      <c r="D21" s="33" t="inlineStr">
        <is>
          <t>Medium</t>
        </is>
      </c>
      <c r="E21" s="32" t="inlineStr">
        <is>
          <t>Documentation Request</t>
        </is>
      </c>
      <c r="F21" s="32" t="inlineStr">
        <is>
          <t xml:space="preserve">@Angel Pinzon </t>
        </is>
      </c>
      <c r="G21" s="32" t="inlineStr">
        <is>
          <t>Paul Omness &amp; Mariana Orozco</t>
        </is>
      </c>
      <c r="H21" s="34" t="n">
        <v>45986</v>
      </c>
      <c r="I21" s="31">
        <f>IF(OR(H21="",B21=""),"",IF(OR(C21="Closed",C21="Resolved"),"-",Setup!$G$2-H21))</f>
        <v/>
      </c>
      <c r="J21" s="32" t="inlineStr">
        <is>
          <t>Management requested workflow charts describing purpose &amp; scope of IT workflow</t>
        </is>
      </c>
      <c r="K21" s="32" t="inlineStr">
        <is>
          <t>Provided PDF file with different examples of workflows that can be encountered in the role on a regular base</t>
        </is>
      </c>
    </row>
    <row r="22" ht="45" customHeight="1" s="36">
      <c r="A22" s="31">
        <f>IF(B22="","","IT-"&amp;Setup!$F$2&amp;TEXT(ROW()-1,"0000"))</f>
        <v/>
      </c>
      <c r="B22" s="32" t="inlineStr">
        <is>
          <t>New User Setup - mcarter@expac.com</t>
        </is>
      </c>
      <c r="C22" s="33" t="inlineStr">
        <is>
          <t>Closed</t>
        </is>
      </c>
      <c r="D22" s="33" t="inlineStr">
        <is>
          <t>Medium</t>
        </is>
      </c>
      <c r="E22" s="32" t="inlineStr">
        <is>
          <t>Account Setup</t>
        </is>
      </c>
      <c r="F22" s="32" t="inlineStr">
        <is>
          <t>@Angel Pinzon @VC3</t>
        </is>
      </c>
      <c r="G22" s="32" t="inlineStr">
        <is>
          <t>Leonel Ramirez</t>
        </is>
      </c>
      <c r="H22" s="34" t="n">
        <v>45985</v>
      </c>
      <c r="I22" s="31">
        <f>IF(OR(H22="",B22=""),"",IF(OR(C22="Closed",C22="Resolved"),"-",Setup!$G$2-H22))</f>
        <v/>
      </c>
      <c r="J22" s="32" t="inlineStr">
        <is>
          <t>Requested new account set up for new GA Production Manager</t>
        </is>
      </c>
      <c r="K22" s="32" t="inlineStr">
        <is>
          <t>VC3 completed the request shortly after.</t>
        </is>
      </c>
    </row>
    <row r="23" ht="45" customHeight="1" s="36">
      <c r="A23" s="31">
        <f>IF(B23="","","IT-"&amp;Setup!$F$2&amp;TEXT(ROW()-1,"0000"))</f>
        <v/>
      </c>
      <c r="B23" s="32" t="inlineStr">
        <is>
          <t>User verification issue - maghrigi@expac.com</t>
        </is>
      </c>
      <c r="C23" s="33" t="inlineStr">
        <is>
          <t>Resolved</t>
        </is>
      </c>
      <c r="D23" s="33" t="inlineStr">
        <is>
          <t>Medium</t>
        </is>
      </c>
      <c r="E23" s="32" t="inlineStr">
        <is>
          <t>Email Issues</t>
        </is>
      </c>
      <c r="F23" s="32" t="inlineStr">
        <is>
          <t>@VC3</t>
        </is>
      </c>
      <c r="G23" s="32" t="inlineStr">
        <is>
          <t>Monica Lopez</t>
        </is>
      </c>
      <c r="H23" s="34" t="n">
        <v>45985</v>
      </c>
      <c r="I23" s="31">
        <f>IF(OR(H23="",B23=""),"",IF(OR(C23="Closed",C23="Resolved"),"-",Setup!$G$2-H23))</f>
        <v/>
      </c>
      <c r="J23" s="32" t="inlineStr">
        <is>
          <t>Monica shared that one of her employees was not receiving/sending any emails</t>
        </is>
      </c>
      <c r="K23" s="32" t="inlineStr">
        <is>
          <t>Opened a ticket with VC3, contacted mailto:maghrigi@expac.com, and got VC3 to help him verify his account</t>
        </is>
      </c>
    </row>
    <row r="24" ht="45" customHeight="1" s="36">
      <c r="A24" s="31">
        <f>IF(B24="","","IT-"&amp;Setup!$F$2&amp;TEXT(ROW()-1,"0000"))</f>
        <v/>
      </c>
      <c r="B24" s="32" t="inlineStr">
        <is>
          <t>TX New production laptop setup</t>
        </is>
      </c>
      <c r="C24" s="33" t="inlineStr">
        <is>
          <t>Closed</t>
        </is>
      </c>
      <c r="D24" s="33" t="inlineStr">
        <is>
          <t>Medium</t>
        </is>
      </c>
      <c r="E24" s="32" t="inlineStr">
        <is>
          <t>Hardware Setup</t>
        </is>
      </c>
      <c r="F24" s="32" t="inlineStr">
        <is>
          <t xml:space="preserve">@Angel Pinzon </t>
        </is>
      </c>
      <c r="G24" s="32" t="inlineStr">
        <is>
          <t>Rafel Peralta</t>
        </is>
      </c>
      <c r="H24" s="34" t="n">
        <v>45980</v>
      </c>
      <c r="I24" s="31">
        <f>IF(OR(H24="",B24=""),"",IF(OR(C24="Closed",C24="Resolved"),"-",Setup!$G$2-H24))</f>
        <v/>
      </c>
      <c r="J24" s="32" t="inlineStr">
        <is>
          <t xml:space="preserve">I called Rafael to instruct him on how to set up the new production laptop in TX </t>
        </is>
      </c>
      <c r="K24" s="32" t="inlineStr">
        <is>
          <t xml:space="preserve">He called me back after following my instructions and confirmed it works. </t>
        </is>
      </c>
    </row>
    <row r="25" ht="45" customHeight="1" s="36">
      <c r="A25" s="31">
        <f>IF(B25="","","IT-"&amp;Setup!$F$2&amp;TEXT(ROW()-1,"0000"))</f>
        <v/>
      </c>
      <c r="B25" s="32" t="inlineStr">
        <is>
          <t>Google Ads Performance Feedback</t>
        </is>
      </c>
      <c r="C25" s="33" t="inlineStr">
        <is>
          <t>In Progress</t>
        </is>
      </c>
      <c r="D25" s="33" t="inlineStr">
        <is>
          <t>Low</t>
        </is>
      </c>
      <c r="E25" s="32" t="inlineStr">
        <is>
          <t>Feedback Request</t>
        </is>
      </c>
      <c r="F25" s="32" t="inlineStr">
        <is>
          <t>@Angel Pinzon @Manuel Menchaca</t>
        </is>
      </c>
      <c r="G25" s="32" t="inlineStr">
        <is>
          <t>Mariana Orozco</t>
        </is>
      </c>
      <c r="H25" s="34" t="n">
        <v>45979</v>
      </c>
      <c r="I25" s="31">
        <f>IF(OR(H25="",B25=""),"",IF(OR(C25="Closed",C25="Resolved"),"-",Setup!$G$2-H25))</f>
        <v/>
      </c>
      <c r="J25" s="32" t="inlineStr">
        <is>
          <t>Mariana would like feedback with pro’s and con’s if you have insight on the tool.</t>
        </is>
      </c>
      <c r="K25" s="32" t="inlineStr">
        <is>
          <t xml:space="preserve">Provided my feedback based on the information provided. Waiting on final decision </t>
        </is>
      </c>
    </row>
    <row r="26" ht="45" customHeight="1" s="36">
      <c r="A26" s="31">
        <f>IF(B26="","","IT-"&amp;Setup!$F$2&amp;TEXT(ROW()-1,"0000"))</f>
        <v/>
      </c>
      <c r="B26" s="32" t="inlineStr">
        <is>
          <t xml:space="preserve">Scanner and Printer Connection Quality computer </t>
        </is>
      </c>
      <c r="C26" s="33" t="inlineStr">
        <is>
          <t>Resolved</t>
        </is>
      </c>
      <c r="D26" s="33" t="inlineStr">
        <is>
          <t>Low</t>
        </is>
      </c>
      <c r="E26" s="32" t="inlineStr">
        <is>
          <t>Hardware Setup</t>
        </is>
      </c>
      <c r="F26" s="32" t="inlineStr">
        <is>
          <t xml:space="preserve">@Angel Pinzon </t>
        </is>
      </c>
      <c r="G26" s="32" t="inlineStr">
        <is>
          <t>Leonel Ramirez</t>
        </is>
      </c>
      <c r="H26" s="34" t="n">
        <v>45979</v>
      </c>
      <c r="I26" s="31">
        <f>IF(OR(H26="",B26=""),"",IF(OR(C26="Closed",C26="Resolved"),"-",Setup!$G$2-H26))</f>
        <v/>
      </c>
      <c r="J26" s="32" t="inlineStr">
        <is>
          <t>Leonel requested help to set up his scanner and printer in the quality office downstairs</t>
        </is>
      </c>
      <c r="K26" s="32" t="inlineStr">
        <is>
          <t>Went downstairs, ran connection wizard via IP connection, was able to complete without admin credentials</t>
        </is>
      </c>
    </row>
    <row r="27" ht="45" customHeight="1" s="36">
      <c r="A27" s="31">
        <f>IF(B27="","","IT-"&amp;Setup!$F$2&amp;TEXT(ROW()-1,"0000"))</f>
        <v/>
      </c>
      <c r="B27" s="32" t="inlineStr">
        <is>
          <t>Problem with accessing a file document from 1995</t>
        </is>
      </c>
      <c r="C27" s="33" t="inlineStr">
        <is>
          <t>Resolved</t>
        </is>
      </c>
      <c r="D27" s="33" t="inlineStr">
        <is>
          <t>Low</t>
        </is>
      </c>
      <c r="E27" s="32" t="inlineStr">
        <is>
          <t>System Access</t>
        </is>
      </c>
      <c r="F27" s="32" t="inlineStr">
        <is>
          <t>@Angel Pinzon</t>
        </is>
      </c>
      <c r="G27" s="32" t="inlineStr">
        <is>
          <t>Evette Ross</t>
        </is>
      </c>
      <c r="H27" s="34" t="n">
        <v>45973</v>
      </c>
      <c r="I27" s="31">
        <f>IF(OR(H27="",B27=""),"",IF(OR(C27="Closed",C27="Resolved"),"-",Setup!$G$2-H27))</f>
        <v/>
      </c>
      <c r="J27" s="32" t="inlineStr">
        <is>
          <t xml:space="preserve"> I’m trying to access a file document from 1995 and I’m getting the below error message. What can I do to view it?</t>
        </is>
      </c>
      <c r="K27" s="32" t="inlineStr">
        <is>
          <t>Went to Evette’s Computer, opened file block settings, enable MS Word 2 access, restarted the app.</t>
        </is>
      </c>
    </row>
    <row r="28" ht="15" customHeight="1" s="36">
      <c r="A28" s="31">
        <f>IF(B28="","","IT-"&amp;Setup!$F$2&amp;TEXT(ROW()-1,"0000"))</f>
        <v/>
      </c>
      <c r="B28" s="32" t="inlineStr">
        <is>
          <t>Wire Transfer Confirmation</t>
        </is>
      </c>
      <c r="C28" s="33" t="inlineStr">
        <is>
          <t>Resolved</t>
        </is>
      </c>
      <c r="D28" s="33" t="inlineStr">
        <is>
          <t>Low</t>
        </is>
      </c>
      <c r="E28" s="32" t="inlineStr">
        <is>
          <t>Spam Removal</t>
        </is>
      </c>
      <c r="F28" s="32" t="inlineStr">
        <is>
          <t>@Angel Pinzon</t>
        </is>
      </c>
      <c r="G28" s="32" t="inlineStr">
        <is>
          <t>Mariana Orozco</t>
        </is>
      </c>
      <c r="H28" s="34" t="n">
        <v>45999</v>
      </c>
      <c r="I28" s="31">
        <f>IF(OR(H28="",B28=""),"",IF(OR(C28="Closed",C28="Resolved"),"-",Setup!$G$2-H28))</f>
        <v/>
      </c>
      <c r="J28" s="32" t="inlineStr">
        <is>
          <t>Mariana requested to block an spam email</t>
        </is>
      </c>
      <c r="K28" s="32" t="inlineStr">
        <is>
          <t>Open ticket with VC3, and they blocked the account.</t>
        </is>
      </c>
    </row>
    <row r="29" ht="15" customHeight="1" s="36">
      <c r="A29" s="31">
        <f>IF(B29="","","IT-"&amp;Setup!$F$2&amp;TEXT(ROW()-1,"0000"))</f>
        <v/>
      </c>
      <c r="B29" s="32" t="inlineStr">
        <is>
          <t>Install Epicor Test &amp; Live in CA-UpConfrm2021</t>
        </is>
      </c>
      <c r="C29" s="33" t="inlineStr">
        <is>
          <t>Closed</t>
        </is>
      </c>
      <c r="D29" s="33" t="inlineStr">
        <is>
          <t>Low</t>
        </is>
      </c>
      <c r="E29" s="32" t="inlineStr">
        <is>
          <t>Software Setup</t>
        </is>
      </c>
      <c r="F29" s="32" t="inlineStr">
        <is>
          <t>@Angel Pinzon @VC3</t>
        </is>
      </c>
      <c r="G29" s="32" t="inlineStr">
        <is>
          <t>Monica Lopez</t>
        </is>
      </c>
      <c r="H29" s="34" t="n">
        <v>46001.31008275463</v>
      </c>
      <c r="I29" s="31" t="n"/>
      <c r="J29" s="32" t="inlineStr">
        <is>
          <t>Monica requested to install Epicor Test &amp; Live in CA-UpConfrm2021 for handhelds testing</t>
        </is>
      </c>
      <c r="K29" s="32" t="inlineStr"/>
    </row>
    <row r="30" ht="15" customHeight="1" s="36">
      <c r="A30" s="31">
        <f>IF(B30="","","IT-"&amp;Setup!$F$2&amp;TEXT(ROW()-1,"0000"))</f>
        <v/>
      </c>
      <c r="B30" s="32" t="inlineStr">
        <is>
          <t>Ticket#4737241 | User Termination | climas@expac.com</t>
        </is>
      </c>
      <c r="C30" s="33" t="inlineStr">
        <is>
          <t>Closed</t>
        </is>
      </c>
      <c r="D30" s="33" t="inlineStr">
        <is>
          <t>Low</t>
        </is>
      </c>
      <c r="E30" s="32" t="inlineStr">
        <is>
          <t>Account Changes</t>
        </is>
      </c>
      <c r="F30" s="32" t="inlineStr">
        <is>
          <t>@Angel Pinzon @VC3</t>
        </is>
      </c>
      <c r="G30" s="32" t="inlineStr">
        <is>
          <t>Delia Flores</t>
        </is>
      </c>
      <c r="H30" s="34" t="n">
        <v>46003.25957510417</v>
      </c>
      <c r="I30" s="31" t="n"/>
      <c r="J30" s="32" t="inlineStr">
        <is>
          <t>Good Afternoon,
We need help to terminate climas@expac.com , we will need to forward her emails to@Delia Flores</t>
        </is>
      </c>
      <c r="K30" s="32" t="inlineStr">
        <is>
          <t>I have revoked Cruz's sessions and reset her password as well as gave Delia full delegation to Cruz's mailbox.  It should show up in her outlook automatically, she may need to close or re-open outlook to see it.</t>
        </is>
      </c>
    </row>
    <row r="31" ht="15" customHeight="1" s="36">
      <c r="A31" s="31">
        <f>IF(B31="","","IT-"&amp;Setup!$F$2&amp;TEXT(ROW()-1,"0000"))</f>
        <v/>
      </c>
      <c r="B31" s="32" t="inlineStr">
        <is>
          <t>Ticket#4736914 | User Termination | Mramos@expac.com | 2:00 PM MST</t>
        </is>
      </c>
      <c r="C31" s="33" t="inlineStr">
        <is>
          <t>Resolved</t>
        </is>
      </c>
      <c r="D31" s="33" t="inlineStr">
        <is>
          <t>Low</t>
        </is>
      </c>
      <c r="E31" s="32" t="inlineStr">
        <is>
          <t>Account Changes</t>
        </is>
      </c>
      <c r="F31" s="32" t="inlineStr">
        <is>
          <t>@Angel Pinzon @VC3</t>
        </is>
      </c>
      <c r="G31" s="32" t="inlineStr">
        <is>
          <t>Leonel Ramirez</t>
        </is>
      </c>
      <c r="H31" s="34" t="n">
        <v>46003.26140708334</v>
      </c>
      <c r="I31" s="31">
        <f>IF(OR(H31="",B31=""),"",IF(OR(C31="Closed",C31="Resolved"),"-",Setup!$G$2-H31))</f>
        <v/>
      </c>
      <c r="J31" s="32" t="inlineStr">
        <is>
          <t>Good Afternoon,
We need help to terminate Mramos@expac.com at 2:00 PM MST, we will need to forward his emails to@Arturo Melendez
And we need to change Mramos@expac.com  password to !!decterm2025!!</t>
        </is>
      </c>
      <c r="K31" s="32" t="inlineStr">
        <is>
          <t>I've disabled Miguel's account and forwarded emails to Arturo.</t>
        </is>
      </c>
    </row>
    <row r="32" ht="15" customHeight="1" s="36">
      <c r="A32" s="31">
        <f>IF(B32="","","IT-"&amp;Setup!$F$2&amp;TEXT(ROW()-1,"0000"))</f>
        <v/>
      </c>
      <c r="B32" s="32" t="inlineStr">
        <is>
          <t>Ticket#4740840/WallnerExpac/Unable to login to VPN</t>
        </is>
      </c>
      <c r="C32" s="33" t="inlineStr">
        <is>
          <t>Resolved</t>
        </is>
      </c>
      <c r="D32" s="33" t="inlineStr">
        <is>
          <t>Low</t>
        </is>
      </c>
      <c r="E32" s="32" t="inlineStr">
        <is>
          <t>Network Problems</t>
        </is>
      </c>
      <c r="F32" s="32" t="inlineStr">
        <is>
          <t>@VC3</t>
        </is>
      </c>
      <c r="G32" s="32" t="inlineStr">
        <is>
          <t>Taylor Huegel</t>
        </is>
      </c>
      <c r="H32" s="34" t="n">
        <v>46006.3462952199</v>
      </c>
      <c r="I32" s="31">
        <f>IF(OR(H32="",B32=""),"",IF(OR(C32="Closed",C32="Resolved"),"-",Setup!$G$2-H32))</f>
        <v/>
      </c>
      <c r="J32" s="32" t="inlineStr">
        <is>
          <t>Taylor called, she is having issues trying to login to her VPN
She is working from home, connected to the laptop with permission
When trying to login, it loads for a bit before bringing her back to the login screen. She needs the VPN reinstalled. ca-prodsaleslptp</t>
        </is>
      </c>
      <c r="K32" s="32" t="inlineStr"/>
    </row>
    <row r="33" ht="15" customHeight="1" s="36">
      <c r="A33" s="31">
        <f>IF(B33="","","IT-"&amp;Setup!$F$2&amp;TEXT(ROW()-1,"0000"))</f>
        <v/>
      </c>
      <c r="B33" s="32" t="inlineStr">
        <is>
          <t>PRTG-02 Alert: WallnerGA-ISP-SW01 - Ping (Ping)</t>
        </is>
      </c>
      <c r="C33" s="33" t="inlineStr">
        <is>
          <t>Waiting for Info</t>
        </is>
      </c>
      <c r="D33" s="33" t="inlineStr">
        <is>
          <t>Medium</t>
        </is>
      </c>
      <c r="E33" s="32" t="inlineStr">
        <is>
          <t>Server Issues</t>
        </is>
      </c>
      <c r="F33" s="32" t="inlineStr">
        <is>
          <t>@VC3</t>
        </is>
      </c>
      <c r="G33" s="32" t="inlineStr">
        <is>
          <t>VC3</t>
        </is>
      </c>
      <c r="H33" s="34" t="n">
        <v>46006.34694557871</v>
      </c>
      <c r="I33" s="31">
        <f>IF(OR(H33="",B33=""),"",IF(OR(C33="Closed",C33="Resolved"),"-",Setup!$G$2-H33))</f>
        <v/>
      </c>
      <c r="J33" s="32" t="inlineStr">
        <is>
          <t>We've lost contact with one of the HP switch the HP-SW01-WEGA. It will be necessary to power cycle it to get it back online.</t>
        </is>
      </c>
      <c r="K33" s="32" t="inlineStr"/>
    </row>
    <row r="34" ht="15" customHeight="1" s="36">
      <c r="A34" s="31">
        <f>IF(B34="","","IT-"&amp;Setup!$F$2&amp;TEXT(ROW()-1,"0000"))</f>
        <v/>
      </c>
      <c r="B34" s="32" t="inlineStr">
        <is>
          <t>Ticket#4746064/WallnerExpac/Software install spare laptop - CA-Travel1</t>
        </is>
      </c>
      <c r="C34" s="33" t="inlineStr">
        <is>
          <t>Resolved</t>
        </is>
      </c>
      <c r="D34" s="33" t="inlineStr">
        <is>
          <t>Low</t>
        </is>
      </c>
      <c r="E34" s="32" t="inlineStr">
        <is>
          <t>Software Setup</t>
        </is>
      </c>
      <c r="F34" s="32" t="inlineStr">
        <is>
          <t>@VC3</t>
        </is>
      </c>
      <c r="G34" s="32" t="inlineStr">
        <is>
          <t>VC3</t>
        </is>
      </c>
      <c r="H34" s="34" t="n">
        <v>46007.41721278935</v>
      </c>
      <c r="I34" s="31">
        <f>IF(OR(H34="",B34=""),"",IF(OR(C34="Closed",C34="Resolved"),"-",Setup!$G$2-H34))</f>
        <v/>
      </c>
      <c r="J34" s="32" t="inlineStr">
        <is>
          <t>Good Morning,
Can we get some help to install these software to all users in the computer CA-TRAVEL1:
Epicor Kinetic 2023.2 Test environment and Live enviroment
RDS
VPN
We are using this computer as a device to check in/out for people that working for home
Erika Requested the Computer.</t>
        </is>
      </c>
      <c r="K34" s="32" t="inlineStr">
        <is>
          <t>Hi Angel,
I've installed the VPN and setup an RDS for the server.  The VPN will automatically be available to everyone who logs in.  I've moved the RDS as well as a .txt document with the VPN server address to the Public Desktop folder.  That should make it so that it shows on the desktop of any user who logs into the computer.
Now all that needs to be done is test them.  Please give them a try and  let me know if you run into any issues.
Device name(s): CA-Travel1
Actions performed:
Reviewing
Speaking with Jason
May not need to install Epicor client
Rather just get an RDS going and both Test and Live are on the server
Server for RDS is WEIRDS01
Contacting Angel via phone
After speaking with Angel, I'm going to install the VPN and get an RDP setup for the server
Will need to figure out how to get RDP onto all desktops
Remoting into user's computer with their permission via VSA
Computer is in the middle of installing Windows Updates
Downloaded installer for Watchguard Mobile
Installed Watchguard
Created txt file with Server info and labeled it VPN Server
Moved it to the Desktop of the Public user profile
txt file now appears on all Desktops
Setting up RDS</t>
        </is>
      </c>
    </row>
    <row r="35" ht="15" customHeight="1" s="36">
      <c r="A35" s="31">
        <f>IF(B35="","","IT-"&amp;Setup!$F$2&amp;TEXT(ROW()-1,"0000"))</f>
        <v/>
      </c>
      <c r="B35" s="32" t="inlineStr">
        <is>
          <t>Laptop for Slideshow Christmas Party</t>
        </is>
      </c>
      <c r="C35" s="33" t="inlineStr">
        <is>
          <t>Closed</t>
        </is>
      </c>
      <c r="D35" s="33" t="inlineStr">
        <is>
          <t>Low</t>
        </is>
      </c>
      <c r="E35" s="32" t="inlineStr">
        <is>
          <t>Hardware Setup</t>
        </is>
      </c>
      <c r="F35" s="32" t="inlineStr">
        <is>
          <t>@Angel Pinzon</t>
        </is>
      </c>
      <c r="G35" s="32" t="inlineStr">
        <is>
          <t>Manuel Menhanca</t>
        </is>
      </c>
      <c r="H35" s="34" t="n">
        <v>46007.41851025463</v>
      </c>
      <c r="I35" s="31">
        <f>IF(OR(H35="",B35=""),"",IF(OR(C35="Closed",C35="Resolved"),"-",Setup!$G$2-H35))</f>
        <v/>
      </c>
      <c r="J35" s="32" t="inlineStr">
        <is>
          <t>Manny needed a laptop for Slideshow Christmas Party</t>
        </is>
      </c>
      <c r="K35" s="32" t="inlineStr">
        <is>
          <t>I asked him what requirements or software he needed, confirmed he had everything he needs, handed him the laptop.</t>
        </is>
      </c>
    </row>
    <row r="36" ht="15" customHeight="1" s="36">
      <c r="A36" s="31">
        <f>IF(B36="","","IT-"&amp;Setup!$F$2&amp;TEXT(ROW()-1,"0000"))</f>
        <v/>
      </c>
      <c r="B36" s="32" t="inlineStr">
        <is>
          <t>Ticket#4753166/WallnerExpac/Fw: TX Tool Room and Assembly - Epicor reporting</t>
        </is>
      </c>
      <c r="C36" s="33" t="inlineStr">
        <is>
          <t>Closed</t>
        </is>
      </c>
      <c r="D36" s="33" t="inlineStr">
        <is>
          <t>Low</t>
        </is>
      </c>
      <c r="E36" s="32" t="inlineStr">
        <is>
          <t>Software Setup</t>
        </is>
      </c>
      <c r="F36" s="32" t="inlineStr">
        <is>
          <t>@Angel Pinzon @VC3</t>
        </is>
      </c>
      <c r="G36" s="32" t="inlineStr">
        <is>
          <t>Monica Lopez</t>
        </is>
      </c>
      <c r="H36" s="34" t="n">
        <v>46008.64440086806</v>
      </c>
      <c r="I36" s="31">
        <f>IF(OR(H36="",B36=""),"",IF(OR(C36="Closed",C36="Resolved"),"-",Setup!$G$2-H36))</f>
        <v/>
      </c>
      <c r="J36" s="32" t="inlineStr">
        <is>
          <t>Setup RDP to RDS for Kinetic live and test</t>
        </is>
      </c>
      <c r="K36" s="32" t="inlineStr">
        <is>
          <t>Device name(s): TX-Toolroom2024
Actions performed:
Reviewed with team
Should just be setting up RDP to RDS
Reviewed ITG
Texas location uses RDP toc onnect to WEIRDS01
Remaining steps: setup RDP to WEIRDS01
Called and left VM</t>
        </is>
      </c>
    </row>
    <row r="37" ht="15" customHeight="1" s="36">
      <c r="A37" s="31">
        <f>IF(B37="","","IT-"&amp;Setup!$F$2&amp;TEXT(ROW()-1,"0000"))</f>
        <v/>
      </c>
      <c r="B37" s="32" t="inlineStr">
        <is>
          <t>TiTicket#4753051/WallnerExpac/GA-ProdMgr | mcarter@expac.com</t>
        </is>
      </c>
      <c r="C37" s="33" t="inlineStr">
        <is>
          <t>Closed</t>
        </is>
      </c>
      <c r="D37" s="33" t="inlineStr">
        <is>
          <t>Low</t>
        </is>
      </c>
      <c r="E37" s="32" t="inlineStr">
        <is>
          <t>Software Setup</t>
        </is>
      </c>
      <c r="F37" s="32" t="inlineStr">
        <is>
          <t>@Angel Pinzon @VC3</t>
        </is>
      </c>
      <c r="G37" s="32" t="inlineStr">
        <is>
          <t>Monica Lopez</t>
        </is>
      </c>
      <c r="H37" s="34" t="n">
        <v>46008.64609074074</v>
      </c>
      <c r="I37" s="31">
        <f>IF(OR(H37="",B37=""),"",IF(OR(C37="Closed",C37="Resolved"),"-",Setup!$G$2-H37))</f>
        <v/>
      </c>
      <c r="J37" s="32" t="inlineStr">
        <is>
          <t>Setup RDP to RDS</t>
        </is>
      </c>
      <c r="K37" s="32" t="inlineStr">
        <is>
          <t>Hi Angel,
I tried giving Mario a call at 770-331-0644. Is there a better time or callback number for him?
I also do not have an email address for Mario.
Please respond to this email or give us a call at 800-481-4369, option 1, at your earliest convenience.  You can also have Mario call us and reference ticket #4753051.</t>
        </is>
      </c>
    </row>
    <row r="38" ht="15" customHeight="1" s="36">
      <c r="A38" s="31">
        <f>IF(B38="","","IT-"&amp;Setup!$F$2&amp;TEXT(ROW()-1,"0000"))</f>
        <v/>
      </c>
      <c r="B38" s="32" t="inlineStr">
        <is>
          <t>Jermaine Franklin - (jfranklin@expac.com) disable account</t>
        </is>
      </c>
      <c r="C38" s="33" t="inlineStr">
        <is>
          <t>Closed</t>
        </is>
      </c>
      <c r="D38" s="33" t="inlineStr">
        <is>
          <t>Low</t>
        </is>
      </c>
      <c r="E38" s="32" t="inlineStr">
        <is>
          <t>Account Changes</t>
        </is>
      </c>
      <c r="F38" s="32" t="inlineStr">
        <is>
          <t>@Angel Pinzon @VC3</t>
        </is>
      </c>
      <c r="G38" s="32" t="inlineStr">
        <is>
          <t>Angel Pinzon</t>
        </is>
      </c>
      <c r="H38" s="34" t="n">
        <v>46009.36787168981</v>
      </c>
      <c r="I38" s="31">
        <f>IF(OR(H38="",B38=""),"",IF(OR(C38="Closed",C38="Resolved"),"-",Setup!$G$2-H38))</f>
        <v/>
      </c>
      <c r="J38" s="32" t="inlineStr">
        <is>
          <t>Good Morning,
Please fully disable Jermaine Franklin - (jfranklin@expac.com)
Best Regards,</t>
        </is>
      </c>
      <c r="K38" s="32" t="inlineStr"/>
    </row>
    <row r="39" ht="15" customHeight="1" s="36">
      <c r="A39" s="31">
        <f>IF(B39="","","IT-"&amp;Setup!$F$2&amp;TEXT(ROW()-1,"0000"))</f>
        <v/>
      </c>
      <c r="B39" s="32" t="inlineStr">
        <is>
          <t>Lisa Hayes - LHayes@expac.com - Disable Account</t>
        </is>
      </c>
      <c r="C39" s="33" t="inlineStr">
        <is>
          <t>Closed</t>
        </is>
      </c>
      <c r="D39" s="33" t="inlineStr">
        <is>
          <t>Low</t>
        </is>
      </c>
      <c r="E39" s="32" t="inlineStr">
        <is>
          <t>Account Changes</t>
        </is>
      </c>
      <c r="F39" s="32" t="inlineStr">
        <is>
          <t>@Angel Pinzon @VC3</t>
        </is>
      </c>
      <c r="G39" s="32" t="inlineStr">
        <is>
          <t>Angel Pinzon</t>
        </is>
      </c>
      <c r="H39" s="34" t="n">
        <v>46009.36812038194</v>
      </c>
      <c r="I39" s="31">
        <f>IF(OR(H39="",B39=""),"",IF(OR(C39="Closed",C39="Resolved"),"-",Setup!$G$2-H39))</f>
        <v/>
      </c>
      <c r="J39" s="32" t="inlineStr">
        <is>
          <t>Good Morning,
Please fully disable Lisa Hayes - LHayes@expac.com
Best Regards,</t>
        </is>
      </c>
      <c r="K39" s="32" t="inlineStr"/>
    </row>
    <row r="40" ht="15" customHeight="1" s="36">
      <c r="A40" s="31">
        <f>IF(B40="","","IT-"&amp;Setup!$F$2&amp;TEXT(ROW()-1,"0000"))</f>
        <v/>
      </c>
      <c r="B40" s="32" t="inlineStr">
        <is>
          <t>JBejar@expac.com password reset</t>
        </is>
      </c>
      <c r="C40" s="33" t="inlineStr">
        <is>
          <t>Closed</t>
        </is>
      </c>
      <c r="D40" s="33" t="inlineStr">
        <is>
          <t>Low</t>
        </is>
      </c>
      <c r="E40" s="32" t="inlineStr">
        <is>
          <t>Account Changes</t>
        </is>
      </c>
      <c r="F40" s="32" t="inlineStr">
        <is>
          <t>@Angel Pinzon @VC3</t>
        </is>
      </c>
      <c r="G40" s="32" t="inlineStr">
        <is>
          <t>Angel Pinzon</t>
        </is>
      </c>
      <c r="H40" s="34" t="n">
        <v>46009.36838988426</v>
      </c>
      <c r="I40" s="31">
        <f>IF(OR(H40="",B40=""),"",IF(OR(C40="Closed",C40="Resolved"),"-",Setup!$G$2-H40))</f>
        <v/>
      </c>
      <c r="J40" s="32" t="inlineStr">
        <is>
          <t>Good Morning,
Can we please get the password for JBejar@expac.com reset, thanks.
Best Regards,</t>
        </is>
      </c>
      <c r="K40" s="32" t="inlineStr"/>
    </row>
    <row r="41" ht="15" customHeight="1" s="36">
      <c r="A41" s="31">
        <f>IF(B41="","","IT-"&amp;Setup!$F$2&amp;TEXT(ROW()-1,"0000"))</f>
        <v/>
      </c>
      <c r="B41" s="32" t="inlineStr">
        <is>
          <t>TX - Kiosk 2 &amp; 3 locked out</t>
        </is>
      </c>
      <c r="C41" s="33" t="inlineStr">
        <is>
          <t>Closed</t>
        </is>
      </c>
      <c r="D41" s="33" t="inlineStr">
        <is>
          <t>Medium</t>
        </is>
      </c>
      <c r="E41" s="32" t="inlineStr">
        <is>
          <t>Hardware Setup</t>
        </is>
      </c>
      <c r="F41" s="32" t="inlineStr">
        <is>
          <t>@Angel Pinzon @VC3</t>
        </is>
      </c>
      <c r="G41" s="32" t="inlineStr">
        <is>
          <t>Angel Pinzon</t>
        </is>
      </c>
      <c r="H41" s="34" t="n">
        <v>46009.36862614584</v>
      </c>
      <c r="I41" s="31">
        <f>IF(OR(H41="",B41=""),"",IF(OR(C41="Closed",C41="Resolved"),"-",Setup!$G$2-H41))</f>
        <v/>
      </c>
      <c r="J41" s="32" t="inlineStr">
        <is>
          <t>Good Morning
Kiosk 2 (tx-kiosk2-2025) &amp; 3(tx-kiosk3) are locked out in TX, can we get help to unlock them, thanks.
Contact: Lead Jose de la Fuente (915) 873-9256.
Best Regards,</t>
        </is>
      </c>
      <c r="K41" s="32" t="inlineStr">
        <is>
          <t>Good morning
It was a pleasure speaking with you today and I'm happy I could get you logged into both Kiosk computers. Per our conversation I have created a new ticket for the Zebra Printer issue - Service Ticket #4756090 - Epicor / Zebra Printer issue. I will send this ticket to you shortly.</t>
        </is>
      </c>
    </row>
    <row r="42" ht="15" customHeight="1" s="36">
      <c r="A42" s="31">
        <f>IF(B42="","","IT-"&amp;Setup!$F$2&amp;TEXT(ROW()-1,"0000"))</f>
        <v/>
      </c>
      <c r="B42" s="32" t="inlineStr">
        <is>
          <t>Ticket#4756090/WallnerExpac/Epicor / Zebra Printer issue</t>
        </is>
      </c>
      <c r="C42" s="33" t="inlineStr">
        <is>
          <t>Resolved</t>
        </is>
      </c>
      <c r="D42" s="33" t="inlineStr">
        <is>
          <t>Medium</t>
        </is>
      </c>
      <c r="E42" s="32" t="inlineStr">
        <is>
          <t>Hardware Setup</t>
        </is>
      </c>
      <c r="F42" s="32" t="inlineStr">
        <is>
          <t>@Angel Pinzon @VC3</t>
        </is>
      </c>
      <c r="G42" s="32" t="inlineStr">
        <is>
          <t>Angel Pinzon</t>
        </is>
      </c>
      <c r="H42" s="34" t="n">
        <v>46009.39011898148</v>
      </c>
      <c r="I42" s="31">
        <f>IF(OR(H42="",B42=""),"",IF(OR(C42="Closed",C42="Resolved"),"-",Setup!$G$2-H42))</f>
        <v/>
      </c>
      <c r="J42" s="32" t="inlineStr">
        <is>
          <t>Hi Jose,
Good morning
This email serves as the ticket for the Zebra printer issue we discussed earlier today. After our conversation, I consulted with the Dedicated Support Team, and they provided the following troubleshooting steps to help resolve the problem:
Power Down the Printer: Please disconnect the printer from its power source.
Re-thread the Labels: Carefully re-thread the labels, ensuring proper alignment.
Restore Power and Test: Plug the printer back in and perform a test print.
The team noted that these printers are highly sensitive to alignment issues, so ensuring the labels are properly threaded is critical.
Once you have completed these steps, please let me know the results so we can determine the next course of action if needed. If you encounter any difficulties or have questions during the process, feel free to reach out to me directly.
Thank you,
Jeremy Meister
Service Technician II</t>
        </is>
      </c>
      <c r="K42" s="32" t="inlineStr">
        <is>
          <t>Hi Jose,
Thanks again for your time! My supervisor's recommendation was spot on - no Zebra label printers should be installed for Epicor printing, as Epicor has an internal printer assignment mechanism. We also confirmed the labels were no longer printing upside down.
I appreciate your patience, and will update our documentation to reflect this info for a smoother future experience!</t>
        </is>
      </c>
    </row>
    <row r="43" ht="15" customHeight="1" s="36">
      <c r="A43" s="31">
        <f>IF(B43="","","IT-"&amp;Setup!$F$2&amp;TEXT(ROW()-1,"0000"))</f>
        <v/>
      </c>
      <c r="B43" s="32" t="inlineStr">
        <is>
          <t>Ticket#4756222/WallnerExpac/block email</t>
        </is>
      </c>
      <c r="C43" s="33" t="inlineStr">
        <is>
          <t>Closed</t>
        </is>
      </c>
      <c r="D43" s="33" t="inlineStr">
        <is>
          <t>Low</t>
        </is>
      </c>
      <c r="E43" s="32" t="inlineStr">
        <is>
          <t>Email Issues</t>
        </is>
      </c>
      <c r="F43" s="32" t="inlineStr">
        <is>
          <t>@Angel Pinzon @VC3</t>
        </is>
      </c>
      <c r="G43" s="32" t="inlineStr">
        <is>
          <t>Angel Pinzon</t>
        </is>
      </c>
      <c r="H43" s="34" t="n">
        <v>46009.41651195602</v>
      </c>
      <c r="I43" s="31">
        <f>IF(OR(H43="",B43=""),"",IF(OR(C43="Closed",C43="Resolved"),"-",Setup!$G$2-H43))</f>
        <v/>
      </c>
      <c r="J43" s="32" t="inlineStr">
        <is>
          <t>Good Morning,
Please have this email blocked, thanks.  (Please see below)
Best Regards,</t>
        </is>
      </c>
      <c r="K43" s="32" t="inlineStr">
        <is>
          <t>Hi,
Your issue with adding spam to the block list has been processed.
Thank you for contacting VC3.
Thank you,
Nick Chiapparine
Service Technician I</t>
        </is>
      </c>
    </row>
    <row r="44" ht="15" customHeight="1" s="36">
      <c r="A44" s="31">
        <f>IF(B44="","","IT-"&amp;Setup!$F$2&amp;TEXT(ROW()-1,"0000"))</f>
        <v/>
      </c>
      <c r="B44" s="32" t="inlineStr">
        <is>
          <t>User Count for DEC not matching</t>
        </is>
      </c>
      <c r="C44" s="33" t="inlineStr">
        <is>
          <t>In Progress</t>
        </is>
      </c>
      <c r="D44" s="33" t="inlineStr">
        <is>
          <t>Low</t>
        </is>
      </c>
      <c r="E44" s="32" t="inlineStr">
        <is>
          <t>Account Changes</t>
        </is>
      </c>
      <c r="F44" s="32" t="inlineStr">
        <is>
          <t>@VC3 @Jason Barnes</t>
        </is>
      </c>
      <c r="G44" s="32" t="inlineStr">
        <is>
          <t>Angel Pinzon</t>
        </is>
      </c>
      <c r="H44" s="34" t="n">
        <v>46013.34268005787</v>
      </c>
      <c r="I44" s="31">
        <f>IF(OR(H44="",B44=""),"",IF(OR(C44="Closed",C44="Resolved"),"-",Setup!$G$2-H44))</f>
        <v/>
      </c>
      <c r="J44" s="32" t="inlineStr">
        <is>
          <t>Jason Barnes
12/18/2025 3:33 PM
Hello All,
I have verified these users are all disabled and unlicensed I am going to have the team look into why the user count is still showing them so it can be corrected.
Thank you
Jason B</t>
        </is>
      </c>
      <c r="K44" s="32" t="inlineStr"/>
    </row>
    <row r="45" ht="15" customHeight="1" s="36">
      <c r="A45" s="31">
        <f>IF(B45="","","IT-"&amp;Setup!$F$2&amp;TEXT(ROW()-1,"0000"))</f>
        <v/>
      </c>
      <c r="B45" s="32" t="inlineStr">
        <is>
          <t>Ticket#4705557/WallnerExpac/Software installation request - CBaer@expac.com</t>
        </is>
      </c>
      <c r="C45" s="33" t="inlineStr">
        <is>
          <t>In Progress</t>
        </is>
      </c>
      <c r="D45" s="33" t="inlineStr">
        <is>
          <t>Low</t>
        </is>
      </c>
      <c r="E45" s="32" t="inlineStr">
        <is>
          <t>Permission Changes</t>
        </is>
      </c>
      <c r="F45" s="32" t="inlineStr">
        <is>
          <t>@Angel Pinzon @VC3</t>
        </is>
      </c>
      <c r="G45" s="32" t="inlineStr">
        <is>
          <t>Cody Baer</t>
        </is>
      </c>
      <c r="H45" s="34" t="n">
        <v>46027.32557427084</v>
      </c>
      <c r="I45" s="31">
        <f>IF(OR(H45="",B45=""),"",IF(OR(C45="Closed",C45="Resolved"),"-",Setup!$G$2-H45))</f>
        <v/>
      </c>
      <c r="J45" s="32" t="inlineStr">
        <is>
          <t>Good morning,
This user is still awaiting the completion of his request:
He needs to get Read and Write access to the following folder path:
N:\12 Production\Georgia Production\Production Control
User Contact Information:
Computer Name: ga-runmngr-2022
Office: 770 499 8821 x 338 | Mobile: 678-365-6900</t>
        </is>
      </c>
      <c r="K45" s="32" t="inlineStr">
        <is>
          <t>Waiting for more information</t>
        </is>
      </c>
    </row>
    <row r="46" ht="15" customHeight="1" s="36">
      <c r="A46" s="31">
        <f>IF(B46="","","IT-"&amp;Setup!$F$2&amp;TEXT(ROW()-1,"0000"))</f>
        <v/>
      </c>
      <c r="B46" s="32" t="inlineStr">
        <is>
          <t>Service Ticket #4790246 | NEW RDS | Spreadsheet server</t>
        </is>
      </c>
      <c r="C46" s="33" t="inlineStr">
        <is>
          <t>In Progress</t>
        </is>
      </c>
      <c r="D46" s="33" t="inlineStr">
        <is>
          <t>Medium</t>
        </is>
      </c>
      <c r="E46" s="32" t="inlineStr">
        <is>
          <t>Server Issues</t>
        </is>
      </c>
      <c r="F46" s="32" t="inlineStr">
        <is>
          <t>@VC3</t>
        </is>
      </c>
      <c r="G46" s="32" t="inlineStr">
        <is>
          <t>Monica Lopez</t>
        </is>
      </c>
      <c r="H46" s="34" t="n">
        <v>46027.36111990741</v>
      </c>
      <c r="I46" s="31">
        <f>IF(OR(H46="",B46=""),"",IF(OR(C46="Closed",C46="Resolved"),"-",Setup!$G$2-H46))</f>
        <v/>
      </c>
      <c r="J46" s="32" t="inlineStr">
        <is>
          <t>Good morning,
This issue was resolved. TX and GA are now using the new RDS icon.
But we need the spreadsheet server issue resolved (see attached email).
@Johnny Olesh do you have any update on that?
Thank you.</t>
        </is>
      </c>
      <c r="K46" s="32" t="inlineStr"/>
    </row>
    <row r="47" ht="15" customHeight="1" s="36">
      <c r="A47" s="31">
        <f>IF(B47="","","IT-"&amp;Setup!$F$2&amp;TEXT(ROW()-1,"0000"))</f>
        <v/>
      </c>
      <c r="B47" s="32" t="inlineStr">
        <is>
          <t>Computer Locked | ca-toolroom-kiosk2023.main.wallnerexpacinc | User: epicortoolroom1</t>
        </is>
      </c>
      <c r="C47" s="33" t="inlineStr">
        <is>
          <t>Resolved</t>
        </is>
      </c>
      <c r="D47" s="33" t="inlineStr">
        <is>
          <t>Low</t>
        </is>
      </c>
      <c r="E47" s="32" t="inlineStr">
        <is>
          <t>System Access</t>
        </is>
      </c>
      <c r="F47" s="32" t="inlineStr">
        <is>
          <t>@Angel Pinzon @VC3</t>
        </is>
      </c>
      <c r="G47" s="32" t="inlineStr">
        <is>
          <t>Monica Lopez</t>
        </is>
      </c>
      <c r="H47" s="34" t="n">
        <v>46027.45314837963</v>
      </c>
      <c r="I47" s="31">
        <f>IF(OR(H47="",B47=""),"",IF(OR(C47="Closed",C47="Resolved"),"-",Setup!$G$2-H47))</f>
        <v/>
      </c>
      <c r="J47" s="32" t="inlineStr">
        <is>
          <t>Good Morning,
Can we get some help to unlock ca-toolroom-kiosk2023 for the "epicortoolroom1" user?
The computer got blocked by trying to put the wrong password multiple times and need assistance now. Please confirm that they are able to access the account.
Contact Information: Santos Leon mobile: (909) - 908 - 5141</t>
        </is>
      </c>
      <c r="K47" s="32" t="inlineStr"/>
    </row>
    <row r="48" ht="15" customHeight="1" s="36">
      <c r="A48" s="31">
        <f>IF(B48="","","IT-"&amp;Setup!$F$2&amp;TEXT(ROW()-1,"0000"))</f>
        <v/>
      </c>
      <c r="B48" s="32" t="inlineStr">
        <is>
          <t>Ticket#4795810/WallnerExpac/Fw: ATTENTION</t>
        </is>
      </c>
      <c r="C48" s="33" t="inlineStr">
        <is>
          <t>Closed</t>
        </is>
      </c>
      <c r="D48" s="33" t="inlineStr">
        <is>
          <t>Low</t>
        </is>
      </c>
      <c r="E48" s="32" t="inlineStr">
        <is>
          <t>Spam Removal</t>
        </is>
      </c>
      <c r="F48" s="32" t="inlineStr">
        <is>
          <t>@Angel Pinzon @VC3</t>
        </is>
      </c>
      <c r="G48" s="32" t="inlineStr">
        <is>
          <t>Wilhemina Pierce</t>
        </is>
      </c>
      <c r="H48" s="34" t="n">
        <v>46027.57962371528</v>
      </c>
      <c r="I48" s="31">
        <f>IF(OR(H48="",B48=""),"",IF(OR(C48="Closed",C48="Resolved"),"-",Setup!$G$2-H48))</f>
        <v/>
      </c>
      <c r="J48" s="32" t="inlineStr">
        <is>
          <t>Good Afternoon,
Can we please get this address blocked? Thanks.
Best Regards,</t>
        </is>
      </c>
      <c r="K48" s="32" t="inlineStr">
        <is>
          <t xml:space="preserve">
--REPLY above this line to respond--
This ticket has been updated by AJ Stankiewicz
AJ Stankiewicz
1/5/2026 4:11 PM
Hello Angel,
Thank you for reaching out to VC3!
I have gone ahead and added the sender to the blocklist.
Please feel free to reach back out if you have any other concerns, Have a great day!
AJ Stankiewicz
Service Technician I
_________________________________________________________
Issue / request: Spam email
Actions performed:
reviewed ticket
signed into spam filter
ran log trace
reviewed email
added sender to blocklist
Summary:
Fw: ATTENTION
Status:	&gt;Closed
Ticket #	4795810
Company:	Wallner Expac
Contact:	Angel Pinzon
Phone:	(909) 227-3005
Address:	1274 Slater Circle
Ontario, CA 91761
Discussion
AJ Stankiewicz
1/5/2026 4:11 PM-4:45 PM
Hello Angel,
Thank you for reaching out to VC3!
I have gone ahead and added the sender to the blocklist.
Please feel free to reach back out if you have any other concerns, Have a great day!
</t>
        </is>
      </c>
    </row>
    <row r="49" ht="15" customHeight="1" s="36">
      <c r="A49" s="31">
        <f>IF(B49="","","IT-"&amp;Setup!$F$2&amp;TEXT(ROW()-1,"0000"))</f>
        <v/>
      </c>
      <c r="B49" s="32" t="inlineStr">
        <is>
          <t>Ticket#4802285/WallnerExpac/block email</t>
        </is>
      </c>
      <c r="C49" s="33" t="inlineStr">
        <is>
          <t>Closed</t>
        </is>
      </c>
      <c r="D49" s="33" t="inlineStr">
        <is>
          <t>Low</t>
        </is>
      </c>
      <c r="E49" s="32" t="inlineStr">
        <is>
          <t>Spam Removal</t>
        </is>
      </c>
      <c r="F49" s="32" t="inlineStr">
        <is>
          <t>@Angel Pinzon @VC3</t>
        </is>
      </c>
      <c r="G49" s="32" t="inlineStr">
        <is>
          <t>Angel Pinzon</t>
        </is>
      </c>
      <c r="H49" s="34" t="n">
        <v>46029.3322091088</v>
      </c>
      <c r="I49" s="31">
        <f>IF(OR(H49="",B49=""),"",IF(OR(C49="Closed",C49="Resolved"),"-",Setup!$G$2-H49))</f>
        <v/>
      </c>
      <c r="J49" s="32" t="inlineStr">
        <is>
          <t xml:space="preserve">Good Morning,
Please block spam, multiple users received it. Thanks.
Best Regards,
</t>
        </is>
      </c>
      <c r="K49" s="32" t="inlineStr"/>
    </row>
    <row r="50" ht="15" customHeight="1" s="36">
      <c r="A50" s="31">
        <f>IF(B50="","","IT-"&amp;Setup!$F$2&amp;TEXT(ROW()-1,"0000"))</f>
        <v/>
      </c>
      <c r="B50" s="32" t="inlineStr">
        <is>
          <t>New reasons prevent pages in a sitemap from being indexed on site expac.com</t>
        </is>
      </c>
      <c r="C50" s="33" t="inlineStr">
        <is>
          <t>Closed</t>
        </is>
      </c>
      <c r="D50" s="33" t="inlineStr">
        <is>
          <t>Low</t>
        </is>
      </c>
      <c r="E50" s="32" t="inlineStr">
        <is>
          <t>Company Website Issues</t>
        </is>
      </c>
      <c r="F50" s="32" t="inlineStr">
        <is>
          <t>@Angel Pinzon</t>
        </is>
      </c>
      <c r="G50" s="32" t="inlineStr">
        <is>
          <t>Manuel Menhanca</t>
        </is>
      </c>
      <c r="H50" s="34" t="n">
        <v>46029.34199143518</v>
      </c>
      <c r="I50" s="31">
        <f>IF(OR(H50="",B50=""),"",IF(OR(C50="Closed",C50="Resolved"),"-",Setup!$G$2-H50))</f>
        <v/>
      </c>
      <c r="J50" s="32" t="inlineStr">
        <is>
          <t>Good morning, Angel and Happy New Year.
I received the below email from our Google Search Console stating that some pages aren’t being indexed. When you have a moment, can you please look into this? Let me know how I can help, and if you can show me how to fix this, that would be great. I want to learn! 😊
Thanks for your help!</t>
        </is>
      </c>
      <c r="K50" s="32" t="inlineStr">
        <is>
          <t>Hi Manny,
I updated the .htaccess file on the expac.com server today to fix a Google indexing problem.
Google was seeing our website as four different sites (http://expac.com, https://expac.com, http://www.expac.com, and https://www.expac.com) instead of one. This was confusing Google and causing 41 pages to show errors in Search Console.
The fix I added tells all visitors and search engines to always go to https://expac.com (no "www"). Now instead of Google crawling four versions of every page, it will only see one, which helps our SEO.
You don't need to do anything differently when making updates to the site. Everything will work exactly the same - this was just a behind-the-scenes server configuration change.
Let me know if you have any questions.
Best Regards,</t>
        </is>
      </c>
    </row>
    <row r="51" ht="15" customHeight="1" s="36">
      <c r="A51" s="31">
        <f>IF(B51="","","IT-"&amp;Setup!$F$2&amp;TEXT(ROW()-1,"0000"))</f>
        <v/>
      </c>
      <c r="B51" s="32" t="n"/>
      <c r="C51" s="33" t="n"/>
      <c r="D51" s="33" t="n"/>
      <c r="E51" s="32" t="n"/>
      <c r="F51" s="32" t="n"/>
      <c r="G51" s="32" t="n"/>
      <c r="H51" s="34" t="n"/>
      <c r="I51" s="31">
        <f>IF(OR(H51="",B51=""),"",IF(OR(C51="Closed",C51="Resolved"),"-",Setup!$G$2-H51))</f>
        <v/>
      </c>
      <c r="J51" s="32" t="n"/>
      <c r="K51" s="32" t="n"/>
    </row>
    <row r="52" ht="15" customHeight="1" s="36">
      <c r="A52" s="31">
        <f>IF(B52="","","IT-"&amp;Setup!$F$2&amp;TEXT(ROW()-1,"0000"))</f>
        <v/>
      </c>
      <c r="B52" s="32" t="n"/>
      <c r="C52" s="33" t="n"/>
      <c r="D52" s="33" t="n"/>
      <c r="E52" s="32" t="n"/>
      <c r="F52" s="32" t="n"/>
      <c r="G52" s="32" t="n"/>
      <c r="H52" s="34" t="n"/>
      <c r="I52" s="31">
        <f>IF(OR(H52="",B52=""),"",IF(OR(C52="Closed",C52="Resolved"),"-",Setup!$G$2-H52))</f>
        <v/>
      </c>
      <c r="J52" s="32" t="n"/>
      <c r="K52" s="32" t="n"/>
    </row>
    <row r="53" ht="15" customHeight="1" s="36">
      <c r="A53" s="31">
        <f>IF(B53="","","IT-"&amp;Setup!$F$2&amp;TEXT(ROW()-1,"0000"))</f>
        <v/>
      </c>
      <c r="B53" s="32" t="n"/>
      <c r="C53" s="33" t="n"/>
      <c r="D53" s="33" t="n"/>
      <c r="E53" s="32" t="n"/>
      <c r="F53" s="32" t="n"/>
      <c r="G53" s="32" t="n"/>
      <c r="H53" s="34" t="n"/>
      <c r="I53" s="31">
        <f>IF(OR(H53="",B53=""),"",IF(OR(C53="Closed",C53="Resolved"),"-",Setup!$G$2-H53))</f>
        <v/>
      </c>
      <c r="J53" s="32" t="n"/>
      <c r="K53" s="32" t="n"/>
    </row>
    <row r="54" ht="15" customHeight="1" s="36">
      <c r="A54" s="31">
        <f>IF(B54="","","IT-"&amp;Setup!$F$2&amp;TEXT(ROW()-1,"0000"))</f>
        <v/>
      </c>
      <c r="B54" s="32" t="n"/>
      <c r="C54" s="33" t="n"/>
      <c r="D54" s="33" t="n"/>
      <c r="E54" s="32" t="n"/>
      <c r="F54" s="32" t="n"/>
      <c r="G54" s="32" t="n"/>
      <c r="H54" s="34" t="n"/>
      <c r="I54" s="31">
        <f>IF(OR(H54="",B54=""),"",IF(OR(C54="Closed",C54="Resolved"),"-",Setup!$G$2-H54))</f>
        <v/>
      </c>
      <c r="J54" s="32" t="n"/>
      <c r="K54" s="32" t="n"/>
    </row>
    <row r="55" ht="15" customHeight="1" s="36">
      <c r="A55" s="31">
        <f>IF(B55="","","IT-"&amp;Setup!$F$2&amp;TEXT(ROW()-1,"0000"))</f>
        <v/>
      </c>
      <c r="B55" s="32" t="n"/>
      <c r="C55" s="33" t="n"/>
      <c r="D55" s="33" t="n"/>
      <c r="E55" s="32" t="n"/>
      <c r="F55" s="32" t="n"/>
      <c r="G55" s="32" t="n"/>
      <c r="H55" s="34" t="n"/>
      <c r="I55" s="31">
        <f>IF(OR(H55="",B55=""),"",IF(OR(C55="Closed",C55="Resolved"),"-",Setup!$G$2-H55))</f>
        <v/>
      </c>
      <c r="J55" s="32" t="n"/>
      <c r="K55" s="32" t="n"/>
    </row>
    <row r="56" ht="15" customHeight="1" s="36">
      <c r="A56" s="31">
        <f>IF(B56="","","IT-"&amp;Setup!$F$2&amp;TEXT(ROW()-1,"0000"))</f>
        <v/>
      </c>
      <c r="B56" s="32" t="n"/>
      <c r="C56" s="33" t="n"/>
      <c r="D56" s="33" t="n"/>
      <c r="E56" s="32" t="n"/>
      <c r="F56" s="32" t="n"/>
      <c r="G56" s="32" t="n"/>
      <c r="H56" s="34" t="n"/>
      <c r="I56" s="31">
        <f>IF(OR(H56="",B56=""),"",IF(OR(C56="Closed",C56="Resolved"),"-",Setup!$G$2-H56))</f>
        <v/>
      </c>
      <c r="J56" s="32" t="n"/>
      <c r="K56" s="32" t="n"/>
    </row>
    <row r="57" ht="15" customHeight="1" s="36">
      <c r="A57" s="31">
        <f>IF(B57="","","IT-"&amp;Setup!$F$2&amp;TEXT(ROW()-1,"0000"))</f>
        <v/>
      </c>
      <c r="B57" s="32" t="n"/>
      <c r="C57" s="33" t="n"/>
      <c r="D57" s="33" t="n"/>
      <c r="E57" s="32" t="n"/>
      <c r="F57" s="32" t="n"/>
      <c r="G57" s="32" t="n"/>
      <c r="H57" s="34" t="n"/>
      <c r="I57" s="31">
        <f>IF(OR(H57="",B57=""),"",IF(OR(C57="Closed",C57="Resolved"),"-",Setup!$G$2-H57))</f>
        <v/>
      </c>
      <c r="J57" s="32" t="n"/>
      <c r="K57" s="32" t="n"/>
    </row>
    <row r="58" ht="15" customHeight="1" s="36">
      <c r="A58" s="31">
        <f>IF(B58="","","IT-"&amp;Setup!$F$2&amp;TEXT(ROW()-1,"0000"))</f>
        <v/>
      </c>
      <c r="B58" s="32" t="n"/>
      <c r="C58" s="33" t="n"/>
      <c r="D58" s="33" t="n"/>
      <c r="E58" s="32" t="n"/>
      <c r="F58" s="32" t="n"/>
      <c r="G58" s="32" t="n"/>
      <c r="H58" s="34" t="n"/>
      <c r="I58" s="31">
        <f>IF(OR(H58="",B58=""),"",IF(OR(C58="Closed",C58="Resolved"),"-",Setup!$G$2-H58))</f>
        <v/>
      </c>
      <c r="J58" s="32" t="n"/>
      <c r="K58" s="32" t="n"/>
    </row>
    <row r="59" ht="15" customHeight="1" s="36">
      <c r="A59" s="31">
        <f>IF(B59="","","IT-"&amp;Setup!$F$2&amp;TEXT(ROW()-1,"0000"))</f>
        <v/>
      </c>
      <c r="B59" s="32" t="n"/>
      <c r="C59" s="33" t="n"/>
      <c r="D59" s="33" t="n"/>
      <c r="E59" s="32" t="n"/>
      <c r="F59" s="32" t="n"/>
      <c r="G59" s="32" t="n"/>
      <c r="H59" s="34" t="n"/>
      <c r="I59" s="31">
        <f>IF(OR(H59="",B59=""),"",IF(OR(C59="Closed",C59="Resolved"),"-",Setup!$G$2-H59))</f>
        <v/>
      </c>
      <c r="J59" s="32" t="n"/>
      <c r="K59" s="32" t="n"/>
    </row>
    <row r="60" ht="15" customHeight="1" s="36">
      <c r="A60" s="31">
        <f>IF(B60="","","IT-"&amp;Setup!$F$2&amp;TEXT(ROW()-1,"0000"))</f>
        <v/>
      </c>
      <c r="B60" s="32" t="n"/>
      <c r="C60" s="33" t="n"/>
      <c r="D60" s="33" t="n"/>
      <c r="E60" s="32" t="n"/>
      <c r="F60" s="32" t="n"/>
      <c r="G60" s="32" t="n"/>
      <c r="H60" s="34" t="n"/>
      <c r="I60" s="31">
        <f>IF(OR(H60="",B60=""),"",IF(OR(C60="Closed",C60="Resolved"),"-",Setup!$G$2-H60))</f>
        <v/>
      </c>
      <c r="J60" s="32" t="n"/>
      <c r="K60" s="32" t="n"/>
    </row>
    <row r="61" ht="15" customHeight="1" s="36">
      <c r="A61" s="31">
        <f>IF(B61="","","IT-"&amp;Setup!$F$2&amp;TEXT(ROW()-1,"0000"))</f>
        <v/>
      </c>
      <c r="B61" s="32" t="n"/>
      <c r="C61" s="33" t="n"/>
      <c r="D61" s="33" t="n"/>
      <c r="E61" s="32" t="n"/>
      <c r="F61" s="32" t="n"/>
      <c r="G61" s="32" t="n"/>
      <c r="H61" s="34" t="n"/>
      <c r="I61" s="31">
        <f>IF(OR(H61="",B61=""),"",IF(OR(C61="Closed",C61="Resolved"),"-",Setup!$G$2-H61))</f>
        <v/>
      </c>
      <c r="J61" s="32" t="n"/>
      <c r="K61" s="32" t="n"/>
    </row>
    <row r="62" ht="15" customHeight="1" s="36">
      <c r="A62" s="31">
        <f>IF(B62="","","IT-"&amp;Setup!$F$2&amp;TEXT(ROW()-1,"0000"))</f>
        <v/>
      </c>
      <c r="B62" s="32" t="n"/>
      <c r="C62" s="33" t="n"/>
      <c r="D62" s="33" t="n"/>
      <c r="E62" s="32" t="n"/>
      <c r="F62" s="32" t="n"/>
      <c r="G62" s="32" t="n"/>
      <c r="H62" s="34" t="n"/>
      <c r="I62" s="31">
        <f>IF(OR(H62="",B62=""),"",IF(OR(C62="Closed",C62="Resolved"),"-",Setup!$G$2-H62))</f>
        <v/>
      </c>
      <c r="J62" s="32" t="n"/>
      <c r="K62" s="32" t="n"/>
    </row>
    <row r="63" ht="15" customHeight="1" s="36">
      <c r="A63" s="31">
        <f>IF(B63="","","IT-"&amp;Setup!$F$2&amp;TEXT(ROW()-1,"0000"))</f>
        <v/>
      </c>
      <c r="B63" s="32" t="n"/>
      <c r="C63" s="33" t="n"/>
      <c r="D63" s="33" t="n"/>
      <c r="E63" s="32" t="n"/>
      <c r="F63" s="32" t="n"/>
      <c r="G63" s="32" t="n"/>
      <c r="H63" s="34" t="n"/>
      <c r="I63" s="31">
        <f>IF(OR(H63="",B63=""),"",IF(OR(C63="Closed",C63="Resolved"),"-",Setup!$G$2-H63))</f>
        <v/>
      </c>
      <c r="J63" s="32" t="n"/>
      <c r="K63" s="32" t="n"/>
    </row>
    <row r="64" ht="15" customHeight="1" s="36">
      <c r="A64" s="31">
        <f>IF(B64="","","IT-"&amp;Setup!$F$2&amp;TEXT(ROW()-1,"0000"))</f>
        <v/>
      </c>
      <c r="B64" s="32" t="n"/>
      <c r="C64" s="33" t="n"/>
      <c r="D64" s="33" t="n"/>
      <c r="E64" s="32" t="n"/>
      <c r="F64" s="32" t="n"/>
      <c r="G64" s="32" t="n"/>
      <c r="H64" s="34" t="n"/>
      <c r="I64" s="31">
        <f>IF(OR(H64="",B64=""),"",IF(OR(C64="Closed",C64="Resolved"),"-",Setup!$G$2-H64))</f>
        <v/>
      </c>
      <c r="J64" s="32" t="n"/>
      <c r="K64" s="32" t="n"/>
    </row>
    <row r="65" ht="15" customHeight="1" s="36">
      <c r="A65" s="31">
        <f>IF(B65="","","IT-"&amp;Setup!$F$2&amp;TEXT(ROW()-1,"0000"))</f>
        <v/>
      </c>
      <c r="B65" s="32" t="n"/>
      <c r="C65" s="33" t="n"/>
      <c r="D65" s="33" t="n"/>
      <c r="E65" s="32" t="n"/>
      <c r="F65" s="32" t="n"/>
      <c r="G65" s="32" t="n"/>
      <c r="H65" s="34" t="n"/>
      <c r="I65" s="31">
        <f>IF(OR(H65="",B65=""),"",IF(OR(C65="Closed",C65="Resolved"),"-",Setup!$G$2-H65))</f>
        <v/>
      </c>
      <c r="J65" s="32" t="n"/>
      <c r="K65" s="32" t="n"/>
    </row>
    <row r="66" ht="15" customHeight="1" s="36">
      <c r="A66" s="31">
        <f>IF(B66="","","IT-"&amp;Setup!$F$2&amp;TEXT(ROW()-1,"0000"))</f>
        <v/>
      </c>
      <c r="B66" s="32" t="n"/>
      <c r="C66" s="33" t="n"/>
      <c r="D66" s="33" t="n"/>
      <c r="E66" s="32" t="n"/>
      <c r="F66" s="32" t="n"/>
      <c r="G66" s="32" t="n"/>
      <c r="H66" s="34" t="n"/>
      <c r="I66" s="31">
        <f>IF(OR(H66="",B66=""),"",IF(OR(C66="Closed",C66="Resolved"),"-",Setup!$G$2-H66))</f>
        <v/>
      </c>
      <c r="J66" s="32" t="n"/>
      <c r="K66" s="32" t="n"/>
    </row>
    <row r="67" ht="15" customHeight="1" s="36">
      <c r="A67" s="31">
        <f>IF(B67="","","IT-"&amp;Setup!$F$2&amp;TEXT(ROW()-1,"0000"))</f>
        <v/>
      </c>
      <c r="B67" s="32" t="n"/>
      <c r="C67" s="33" t="n"/>
      <c r="D67" s="33" t="n"/>
      <c r="E67" s="32" t="n"/>
      <c r="F67" s="32" t="n"/>
      <c r="G67" s="32" t="n"/>
      <c r="H67" s="34" t="n"/>
      <c r="I67" s="31">
        <f>IF(OR(H67="",B67=""),"",IF(OR(C67="Closed",C67="Resolved"),"-",Setup!$G$2-H67))</f>
        <v/>
      </c>
      <c r="J67" s="32" t="n"/>
      <c r="K67" s="32" t="n"/>
    </row>
    <row r="68" ht="15" customHeight="1" s="36">
      <c r="A68" s="31">
        <f>IF(B68="","","IT-"&amp;Setup!$F$2&amp;TEXT(ROW()-1,"0000"))</f>
        <v/>
      </c>
      <c r="B68" s="32" t="n"/>
      <c r="C68" s="33" t="n"/>
      <c r="D68" s="33" t="n"/>
      <c r="E68" s="32" t="n"/>
      <c r="F68" s="32" t="n"/>
      <c r="G68" s="32" t="n"/>
      <c r="H68" s="34" t="n"/>
      <c r="I68" s="31">
        <f>IF(OR(H68="",B68=""),"",IF(OR(C68="Closed",C68="Resolved"),"-",Setup!$G$2-H68))</f>
        <v/>
      </c>
      <c r="J68" s="32" t="n"/>
      <c r="K68" s="32" t="n"/>
    </row>
    <row r="69" ht="15" customHeight="1" s="36">
      <c r="A69" s="31">
        <f>IF(B69="","","IT-"&amp;Setup!$F$2&amp;TEXT(ROW()-1,"0000"))</f>
        <v/>
      </c>
      <c r="B69" s="32" t="n"/>
      <c r="C69" s="33" t="n"/>
      <c r="D69" s="33" t="n"/>
      <c r="E69" s="32" t="n"/>
      <c r="F69" s="32" t="n"/>
      <c r="G69" s="32" t="n"/>
      <c r="H69" s="34" t="n"/>
      <c r="I69" s="31">
        <f>IF(OR(H69="",B69=""),"",IF(OR(C69="Closed",C69="Resolved"),"-",Setup!$G$2-H69))</f>
        <v/>
      </c>
      <c r="J69" s="32" t="n"/>
      <c r="K69" s="32" t="n"/>
    </row>
    <row r="70" ht="15" customHeight="1" s="36">
      <c r="A70" s="31">
        <f>IF(B70="","","IT-"&amp;Setup!$F$2&amp;TEXT(ROW()-1,"0000"))</f>
        <v/>
      </c>
      <c r="B70" s="32" t="n"/>
      <c r="C70" s="33" t="n"/>
      <c r="D70" s="33" t="n"/>
      <c r="E70" s="32" t="n"/>
      <c r="F70" s="32" t="n"/>
      <c r="G70" s="32" t="n"/>
      <c r="H70" s="34" t="n"/>
      <c r="I70" s="31">
        <f>IF(OR(H70="",B70=""),"",IF(OR(C70="Closed",C70="Resolved"),"-",Setup!$G$2-H70))</f>
        <v/>
      </c>
      <c r="J70" s="32" t="n"/>
      <c r="K70" s="32" t="n"/>
    </row>
    <row r="71" ht="15" customHeight="1" s="36">
      <c r="A71" s="31">
        <f>IF(B71="","","IT-"&amp;Setup!$F$2&amp;TEXT(ROW()-1,"0000"))</f>
        <v/>
      </c>
      <c r="B71" s="32" t="n"/>
      <c r="C71" s="33" t="n"/>
      <c r="D71" s="33" t="n"/>
      <c r="E71" s="32" t="n"/>
      <c r="F71" s="32" t="n"/>
      <c r="G71" s="32" t="n"/>
      <c r="H71" s="34" t="n"/>
      <c r="I71" s="31">
        <f>IF(OR(H71="",B71=""),"",IF(OR(C71="Closed",C71="Resolved"),"-",Setup!$G$2-H71))</f>
        <v/>
      </c>
      <c r="J71" s="32" t="n"/>
      <c r="K71" s="32" t="n"/>
    </row>
    <row r="72" ht="15" customHeight="1" s="36">
      <c r="A72" s="31">
        <f>IF(B72="","","IT-"&amp;Setup!$F$2&amp;TEXT(ROW()-1,"0000"))</f>
        <v/>
      </c>
      <c r="B72" s="32" t="n"/>
      <c r="C72" s="33" t="n"/>
      <c r="D72" s="33" t="n"/>
      <c r="E72" s="32" t="n"/>
      <c r="F72" s="32" t="n"/>
      <c r="G72" s="32" t="n"/>
      <c r="H72" s="34" t="n"/>
      <c r="I72" s="31">
        <f>IF(OR(H72="",B72=""),"",IF(OR(C72="Closed",C72="Resolved"),"-",Setup!$G$2-H72))</f>
        <v/>
      </c>
      <c r="J72" s="32" t="n"/>
      <c r="K72" s="32" t="n"/>
    </row>
    <row r="73" ht="15" customHeight="1" s="36">
      <c r="A73" s="31">
        <f>IF(B73="","","IT-"&amp;Setup!$F$2&amp;TEXT(ROW()-1,"0000"))</f>
        <v/>
      </c>
      <c r="B73" s="32" t="n"/>
      <c r="C73" s="33" t="n"/>
      <c r="D73" s="33" t="n"/>
      <c r="E73" s="32" t="n"/>
      <c r="F73" s="32" t="n"/>
      <c r="G73" s="32" t="n"/>
      <c r="H73" s="34" t="n"/>
      <c r="I73" s="31">
        <f>IF(OR(H73="",B73=""),"",IF(OR(C73="Closed",C73="Resolved"),"-",Setup!$G$2-H73))</f>
        <v/>
      </c>
      <c r="J73" s="32" t="n"/>
      <c r="K73" s="32" t="n"/>
    </row>
    <row r="74" ht="15" customHeight="1" s="36">
      <c r="A74" s="31">
        <f>IF(B74="","","IT-"&amp;Setup!$F$2&amp;TEXT(ROW()-1,"0000"))</f>
        <v/>
      </c>
      <c r="B74" s="32" t="n"/>
      <c r="C74" s="33" t="n"/>
      <c r="D74" s="33" t="n"/>
      <c r="E74" s="32" t="n"/>
      <c r="F74" s="32" t="n"/>
      <c r="G74" s="32" t="n"/>
      <c r="H74" s="34" t="n"/>
      <c r="I74" s="31">
        <f>IF(OR(H74="",B74=""),"",IF(OR(C74="Closed",C74="Resolved"),"-",Setup!$G$2-H74))</f>
        <v/>
      </c>
      <c r="J74" s="32" t="n"/>
      <c r="K74" s="32" t="n"/>
    </row>
    <row r="75" ht="15" customHeight="1" s="36">
      <c r="A75" s="31">
        <f>IF(B75="","","IT-"&amp;Setup!$F$2&amp;TEXT(ROW()-1,"0000"))</f>
        <v/>
      </c>
      <c r="B75" s="32" t="n"/>
      <c r="C75" s="33" t="n"/>
      <c r="D75" s="33" t="n"/>
      <c r="E75" s="32" t="n"/>
      <c r="F75" s="32" t="n"/>
      <c r="G75" s="32" t="n"/>
      <c r="H75" s="34" t="n"/>
      <c r="I75" s="31">
        <f>IF(OR(H75="",B75=""),"",IF(OR(C75="Closed",C75="Resolved"),"-",Setup!$G$2-H75))</f>
        <v/>
      </c>
      <c r="J75" s="32" t="n"/>
      <c r="K75" s="32" t="n"/>
    </row>
    <row r="76" ht="15" customHeight="1" s="36">
      <c r="A76" s="31">
        <f>IF(B76="","","IT-"&amp;Setup!$F$2&amp;TEXT(ROW()-1,"0000"))</f>
        <v/>
      </c>
      <c r="B76" s="32" t="n"/>
      <c r="C76" s="33" t="n"/>
      <c r="D76" s="33" t="n"/>
      <c r="E76" s="32" t="n"/>
      <c r="F76" s="32" t="n"/>
      <c r="G76" s="32" t="n"/>
      <c r="H76" s="34" t="n"/>
      <c r="I76" s="31">
        <f>IF(OR(H76="",B76=""),"",IF(OR(C76="Closed",C76="Resolved"),"-",Setup!$G$2-H76))</f>
        <v/>
      </c>
      <c r="J76" s="32" t="n"/>
      <c r="K76" s="32" t="n"/>
    </row>
    <row r="77" ht="15" customHeight="1" s="36">
      <c r="A77" s="31">
        <f>IF(B77="","","IT-"&amp;Setup!$F$2&amp;TEXT(ROW()-1,"0000"))</f>
        <v/>
      </c>
      <c r="B77" s="32" t="n"/>
      <c r="C77" s="33" t="n"/>
      <c r="D77" s="33" t="n"/>
      <c r="E77" s="32" t="n"/>
      <c r="F77" s="32" t="n"/>
      <c r="G77" s="32" t="n"/>
      <c r="H77" s="34" t="n"/>
      <c r="I77" s="31">
        <f>IF(OR(H77="",B77=""),"",IF(OR(C77="Closed",C77="Resolved"),"-",Setup!$G$2-H77))</f>
        <v/>
      </c>
      <c r="J77" s="32" t="n"/>
      <c r="K77" s="32" t="n"/>
    </row>
    <row r="78" ht="15" customHeight="1" s="36">
      <c r="A78" s="31">
        <f>IF(B78="","","IT-"&amp;Setup!$F$2&amp;TEXT(ROW()-1,"0000"))</f>
        <v/>
      </c>
      <c r="B78" s="32" t="n"/>
      <c r="C78" s="33" t="n"/>
      <c r="D78" s="33" t="n"/>
      <c r="E78" s="32" t="n"/>
      <c r="F78" s="32" t="n"/>
      <c r="G78" s="32" t="n"/>
      <c r="H78" s="34" t="n"/>
      <c r="I78" s="31">
        <f>IF(OR(H78="",B78=""),"",IF(OR(C78="Closed",C78="Resolved"),"-",Setup!$G$2-H78))</f>
        <v/>
      </c>
      <c r="J78" s="32" t="n"/>
      <c r="K78" s="32" t="n"/>
    </row>
    <row r="79" ht="15" customHeight="1" s="36">
      <c r="A79" s="31">
        <f>IF(B79="","","IT-"&amp;Setup!$F$2&amp;TEXT(ROW()-1,"0000"))</f>
        <v/>
      </c>
      <c r="B79" s="32" t="n"/>
      <c r="C79" s="33" t="n"/>
      <c r="D79" s="33" t="n"/>
      <c r="E79" s="32" t="n"/>
      <c r="F79" s="32" t="n"/>
      <c r="G79" s="32" t="n"/>
      <c r="H79" s="34" t="n"/>
      <c r="I79" s="31">
        <f>IF(OR(H79="",B79=""),"",IF(OR(C79="Closed",C79="Resolved"),"-",Setup!$G$2-H79))</f>
        <v/>
      </c>
      <c r="J79" s="32" t="n"/>
      <c r="K79" s="32" t="n"/>
    </row>
    <row r="80" ht="15" customHeight="1" s="36">
      <c r="A80" s="31">
        <f>IF(B80="","","IT-"&amp;Setup!$F$2&amp;TEXT(ROW()-1,"0000"))</f>
        <v/>
      </c>
      <c r="B80" s="32" t="n"/>
      <c r="C80" s="33" t="n"/>
      <c r="D80" s="33" t="n"/>
      <c r="E80" s="32" t="n"/>
      <c r="F80" s="32" t="n"/>
      <c r="G80" s="32" t="n"/>
      <c r="H80" s="34" t="n"/>
      <c r="I80" s="31">
        <f>IF(OR(H80="",B80=""),"",IF(OR(C80="Closed",C80="Resolved"),"-",Setup!$G$2-H80))</f>
        <v/>
      </c>
      <c r="J80" s="32" t="n"/>
      <c r="K80" s="32" t="n"/>
    </row>
    <row r="81" ht="15" customHeight="1" s="36">
      <c r="A81" s="31">
        <f>IF(B81="","","IT-"&amp;Setup!$F$2&amp;TEXT(ROW()-1,"0000"))</f>
        <v/>
      </c>
      <c r="B81" s="32" t="n"/>
      <c r="C81" s="33" t="n"/>
      <c r="D81" s="33" t="n"/>
      <c r="E81" s="32" t="n"/>
      <c r="F81" s="32" t="n"/>
      <c r="G81" s="32" t="n"/>
      <c r="H81" s="34" t="n"/>
      <c r="I81" s="31">
        <f>IF(OR(H81="",B81=""),"",IF(OR(C81="Closed",C81="Resolved"),"-",Setup!$G$2-H81))</f>
        <v/>
      </c>
      <c r="J81" s="32" t="n"/>
      <c r="K81" s="32" t="n"/>
    </row>
    <row r="82" ht="15" customHeight="1" s="36">
      <c r="A82" s="31">
        <f>IF(B82="","","IT-"&amp;Setup!$F$2&amp;TEXT(ROW()-1,"0000"))</f>
        <v/>
      </c>
      <c r="B82" s="32" t="n"/>
      <c r="C82" s="33" t="n"/>
      <c r="D82" s="33" t="n"/>
      <c r="E82" s="32" t="n"/>
      <c r="F82" s="32" t="n"/>
      <c r="G82" s="32" t="n"/>
      <c r="H82" s="34" t="n"/>
      <c r="I82" s="31">
        <f>IF(OR(H82="",B82=""),"",IF(OR(C82="Closed",C82="Resolved"),"-",Setup!$G$2-H82))</f>
        <v/>
      </c>
      <c r="J82" s="32" t="n"/>
      <c r="K82" s="32" t="n"/>
    </row>
    <row r="83" ht="15" customHeight="1" s="36">
      <c r="A83" s="31">
        <f>IF(B83="","","IT-"&amp;Setup!$F$2&amp;TEXT(ROW()-1,"0000"))</f>
        <v/>
      </c>
      <c r="B83" s="32" t="n"/>
      <c r="C83" s="33" t="n"/>
      <c r="D83" s="33" t="n"/>
      <c r="E83" s="32" t="n"/>
      <c r="F83" s="32" t="n"/>
      <c r="G83" s="32" t="n"/>
      <c r="H83" s="34" t="n"/>
      <c r="I83" s="31">
        <f>IF(OR(H83="",B83=""),"",IF(OR(C83="Closed",C83="Resolved"),"-",Setup!$G$2-H83))</f>
        <v/>
      </c>
      <c r="J83" s="32" t="n"/>
      <c r="K83" s="32" t="n"/>
    </row>
    <row r="84" ht="15" customHeight="1" s="36">
      <c r="A84" s="31">
        <f>IF(B84="","","IT-"&amp;Setup!$F$2&amp;TEXT(ROW()-1,"0000"))</f>
        <v/>
      </c>
      <c r="B84" s="32" t="n"/>
      <c r="C84" s="33" t="n"/>
      <c r="D84" s="33" t="n"/>
      <c r="E84" s="32" t="n"/>
      <c r="F84" s="32" t="n"/>
      <c r="G84" s="32" t="n"/>
      <c r="H84" s="34" t="n"/>
      <c r="I84" s="31">
        <f>IF(OR(H84="",B84=""),"",IF(OR(C84="Closed",C84="Resolved"),"-",Setup!$G$2-H84))</f>
        <v/>
      </c>
      <c r="J84" s="32" t="n"/>
      <c r="K84" s="32" t="n"/>
    </row>
    <row r="85" ht="15" customHeight="1" s="36">
      <c r="A85" s="31">
        <f>IF(B85="","","IT-"&amp;Setup!$F$2&amp;TEXT(ROW()-1,"0000"))</f>
        <v/>
      </c>
      <c r="B85" s="32" t="n"/>
      <c r="C85" s="33" t="n"/>
      <c r="D85" s="33" t="n"/>
      <c r="E85" s="32" t="n"/>
      <c r="F85" s="32" t="n"/>
      <c r="G85" s="32" t="n"/>
      <c r="H85" s="34" t="n"/>
      <c r="I85" s="31">
        <f>IF(OR(H85="",B85=""),"",IF(OR(C85="Closed",C85="Resolved"),"-",Setup!$G$2-H85))</f>
        <v/>
      </c>
      <c r="J85" s="32" t="n"/>
      <c r="K85" s="32" t="n"/>
    </row>
    <row r="86" ht="15" customHeight="1" s="36">
      <c r="A86" s="31">
        <f>IF(B86="","","IT-"&amp;Setup!$F$2&amp;TEXT(ROW()-1,"0000"))</f>
        <v/>
      </c>
      <c r="B86" s="32" t="n"/>
      <c r="C86" s="33" t="n"/>
      <c r="D86" s="33" t="n"/>
      <c r="E86" s="32" t="n"/>
      <c r="F86" s="32" t="n"/>
      <c r="G86" s="32" t="n"/>
      <c r="H86" s="34" t="n"/>
      <c r="I86" s="31">
        <f>IF(OR(H86="",B86=""),"",IF(OR(C86="Closed",C86="Resolved"),"-",Setup!$G$2-H86))</f>
        <v/>
      </c>
      <c r="J86" s="32" t="n"/>
      <c r="K86" s="32" t="n"/>
    </row>
    <row r="87" ht="15" customHeight="1" s="36">
      <c r="A87" s="31">
        <f>IF(B87="","","IT-"&amp;Setup!$F$2&amp;TEXT(ROW()-1,"0000"))</f>
        <v/>
      </c>
      <c r="B87" s="32" t="n"/>
      <c r="C87" s="33" t="n"/>
      <c r="D87" s="33" t="n"/>
      <c r="E87" s="32" t="n"/>
      <c r="F87" s="32" t="n"/>
      <c r="G87" s="32" t="n"/>
      <c r="H87" s="34" t="n"/>
      <c r="I87" s="31">
        <f>IF(OR(H87="",B87=""),"",IF(OR(C87="Closed",C87="Resolved"),"-",Setup!$G$2-H87))</f>
        <v/>
      </c>
      <c r="J87" s="32" t="n"/>
      <c r="K87" s="32" t="n"/>
    </row>
    <row r="88" ht="15" customHeight="1" s="36">
      <c r="A88" s="31">
        <f>IF(B88="","","IT-"&amp;Setup!$F$2&amp;TEXT(ROW()-1,"0000"))</f>
        <v/>
      </c>
      <c r="B88" s="32" t="n"/>
      <c r="C88" s="33" t="n"/>
      <c r="D88" s="33" t="n"/>
      <c r="E88" s="32" t="n"/>
      <c r="F88" s="32" t="n"/>
      <c r="G88" s="32" t="n"/>
      <c r="H88" s="34" t="n"/>
      <c r="I88" s="31">
        <f>IF(OR(H88="",B88=""),"",IF(OR(C88="Closed",C88="Resolved"),"-",Setup!$G$2-H88))</f>
        <v/>
      </c>
      <c r="J88" s="32" t="n"/>
      <c r="K88" s="32" t="n"/>
    </row>
    <row r="89" ht="15" customHeight="1" s="36">
      <c r="A89" s="31">
        <f>IF(B89="","","IT-"&amp;Setup!$F$2&amp;TEXT(ROW()-1,"0000"))</f>
        <v/>
      </c>
      <c r="B89" s="32" t="n"/>
      <c r="C89" s="33" t="n"/>
      <c r="D89" s="33" t="n"/>
      <c r="E89" s="32" t="n"/>
      <c r="F89" s="32" t="n"/>
      <c r="G89" s="32" t="n"/>
      <c r="H89" s="34" t="n"/>
      <c r="I89" s="31">
        <f>IF(OR(H89="",B89=""),"",IF(OR(C89="Closed",C89="Resolved"),"-",Setup!$G$2-H89))</f>
        <v/>
      </c>
      <c r="J89" s="32" t="n"/>
      <c r="K89" s="32" t="n"/>
    </row>
    <row r="90" ht="15" customHeight="1" s="36">
      <c r="A90" s="31">
        <f>IF(B90="","","IT-"&amp;Setup!$F$2&amp;TEXT(ROW()-1,"0000"))</f>
        <v/>
      </c>
      <c r="B90" s="32" t="n"/>
      <c r="C90" s="33" t="n"/>
      <c r="D90" s="33" t="n"/>
      <c r="E90" s="32" t="n"/>
      <c r="F90" s="32" t="n"/>
      <c r="G90" s="32" t="n"/>
      <c r="H90" s="34" t="n"/>
      <c r="I90" s="31">
        <f>IF(OR(H90="",B90=""),"",IF(OR(C90="Closed",C90="Resolved"),"-",Setup!$G$2-H90))</f>
        <v/>
      </c>
      <c r="J90" s="32" t="n"/>
      <c r="K90" s="32" t="n"/>
    </row>
    <row r="91" ht="15" customHeight="1" s="36">
      <c r="A91" s="31">
        <f>IF(B91="","","IT-"&amp;Setup!$F$2&amp;TEXT(ROW()-1,"0000"))</f>
        <v/>
      </c>
      <c r="B91" s="32" t="n"/>
      <c r="C91" s="33" t="n"/>
      <c r="D91" s="33" t="n"/>
      <c r="E91" s="32" t="n"/>
      <c r="F91" s="32" t="n"/>
      <c r="G91" s="32" t="n"/>
      <c r="H91" s="34" t="n"/>
      <c r="I91" s="31">
        <f>IF(OR(H91="",B91=""),"",IF(OR(C91="Closed",C91="Resolved"),"-",Setup!$G$2-H91))</f>
        <v/>
      </c>
      <c r="J91" s="32" t="n"/>
      <c r="K91" s="32" t="n"/>
    </row>
    <row r="92" ht="15" customHeight="1" s="36">
      <c r="A92" s="31">
        <f>IF(B92="","","IT-"&amp;Setup!$F$2&amp;TEXT(ROW()-1,"0000"))</f>
        <v/>
      </c>
      <c r="B92" s="32" t="n"/>
      <c r="C92" s="33" t="n"/>
      <c r="D92" s="33" t="n"/>
      <c r="E92" s="32" t="n"/>
      <c r="F92" s="32" t="n"/>
      <c r="G92" s="32" t="n"/>
      <c r="H92" s="34" t="n"/>
      <c r="I92" s="31">
        <f>IF(OR(H92="",B92=""),"",IF(OR(C92="Closed",C92="Resolved"),"-",Setup!$G$2-H92))</f>
        <v/>
      </c>
      <c r="J92" s="32" t="n"/>
      <c r="K92" s="32" t="n"/>
    </row>
    <row r="93" ht="15" customHeight="1" s="36">
      <c r="A93" s="31">
        <f>IF(B93="","","IT-"&amp;Setup!$F$2&amp;TEXT(ROW()-1,"0000"))</f>
        <v/>
      </c>
      <c r="B93" s="32" t="n"/>
      <c r="C93" s="33" t="n"/>
      <c r="D93" s="33" t="n"/>
      <c r="E93" s="32" t="n"/>
      <c r="F93" s="32" t="n"/>
      <c r="G93" s="32" t="n"/>
      <c r="H93" s="34" t="n"/>
      <c r="I93" s="31">
        <f>IF(OR(H93="",B93=""),"",IF(OR(C93="Closed",C93="Resolved"),"-",Setup!$G$2-H93))</f>
        <v/>
      </c>
      <c r="J93" s="32" t="n"/>
      <c r="K93" s="32" t="n"/>
    </row>
    <row r="94" ht="15" customHeight="1" s="36">
      <c r="A94" s="31">
        <f>IF(B94="","","IT-"&amp;Setup!$F$2&amp;TEXT(ROW()-1,"0000"))</f>
        <v/>
      </c>
      <c r="B94" s="32" t="n"/>
      <c r="C94" s="33" t="n"/>
      <c r="D94" s="33" t="n"/>
      <c r="E94" s="32" t="n"/>
      <c r="F94" s="32" t="n"/>
      <c r="G94" s="32" t="n"/>
      <c r="H94" s="34" t="n"/>
      <c r="I94" s="31">
        <f>IF(OR(H94="",B94=""),"",IF(OR(C94="Closed",C94="Resolved"),"-",Setup!$G$2-H94))</f>
        <v/>
      </c>
      <c r="J94" s="32" t="n"/>
      <c r="K94" s="32" t="n"/>
    </row>
    <row r="95" ht="15" customHeight="1" s="36">
      <c r="A95" s="31">
        <f>IF(B95="","","IT-"&amp;Setup!$F$2&amp;TEXT(ROW()-1,"0000"))</f>
        <v/>
      </c>
      <c r="B95" s="32" t="n"/>
      <c r="C95" s="33" t="n"/>
      <c r="D95" s="33" t="n"/>
      <c r="E95" s="32" t="n"/>
      <c r="F95" s="32" t="n"/>
      <c r="G95" s="32" t="n"/>
      <c r="H95" s="34" t="n"/>
      <c r="I95" s="31">
        <f>IF(OR(H95="",B95=""),"",IF(OR(C95="Closed",C95="Resolved"),"-",Setup!$G$2-H95))</f>
        <v/>
      </c>
      <c r="J95" s="32" t="n"/>
      <c r="K95" s="32" t="n"/>
    </row>
    <row r="96" ht="15" customHeight="1" s="36">
      <c r="A96" s="31">
        <f>IF(B96="","","IT-"&amp;Setup!$F$2&amp;TEXT(ROW()-1,"0000"))</f>
        <v/>
      </c>
      <c r="B96" s="32" t="n"/>
      <c r="C96" s="33" t="n"/>
      <c r="D96" s="33" t="n"/>
      <c r="E96" s="32" t="n"/>
      <c r="F96" s="32" t="n"/>
      <c r="G96" s="32" t="n"/>
      <c r="H96" s="34" t="n"/>
      <c r="I96" s="31">
        <f>IF(OR(H96="",B96=""),"",IF(OR(C96="Closed",C96="Resolved"),"-",Setup!$G$2-H96))</f>
        <v/>
      </c>
      <c r="J96" s="32" t="n"/>
      <c r="K96" s="32" t="n"/>
    </row>
    <row r="97" ht="15" customHeight="1" s="36">
      <c r="A97" s="31">
        <f>IF(B97="","","IT-"&amp;Setup!$F$2&amp;TEXT(ROW()-1,"0000"))</f>
        <v/>
      </c>
      <c r="B97" s="32" t="n"/>
      <c r="C97" s="33" t="n"/>
      <c r="D97" s="33" t="n"/>
      <c r="E97" s="32" t="n"/>
      <c r="F97" s="32" t="n"/>
      <c r="G97" s="32" t="n"/>
      <c r="H97" s="34" t="n"/>
      <c r="I97" s="31">
        <f>IF(OR(H97="",B97=""),"",IF(OR(C97="Closed",C97="Resolved"),"-",Setup!$G$2-H97))</f>
        <v/>
      </c>
      <c r="J97" s="32" t="n"/>
      <c r="K97" s="32" t="n"/>
    </row>
    <row r="98" ht="15" customHeight="1" s="36">
      <c r="A98" s="31">
        <f>IF(B98="","","IT-"&amp;Setup!$F$2&amp;TEXT(ROW()-1,"0000"))</f>
        <v/>
      </c>
      <c r="B98" s="32" t="n"/>
      <c r="C98" s="33" t="n"/>
      <c r="D98" s="33" t="n"/>
      <c r="E98" s="32" t="n"/>
      <c r="F98" s="32" t="n"/>
      <c r="G98" s="32" t="n"/>
      <c r="H98" s="34" t="n"/>
      <c r="I98" s="31">
        <f>IF(OR(H98="",B98=""),"",IF(OR(C98="Closed",C98="Resolved"),"-",Setup!$G$2-H98))</f>
        <v/>
      </c>
      <c r="J98" s="32" t="n"/>
      <c r="K98" s="32" t="n"/>
    </row>
    <row r="99" ht="15" customHeight="1" s="36">
      <c r="A99" s="31">
        <f>IF(B99="","","IT-"&amp;Setup!$F$2&amp;TEXT(ROW()-1,"0000"))</f>
        <v/>
      </c>
      <c r="B99" s="32" t="n"/>
      <c r="C99" s="33" t="n"/>
      <c r="D99" s="33" t="n"/>
      <c r="E99" s="32" t="n"/>
      <c r="F99" s="32" t="n"/>
      <c r="G99" s="32" t="n"/>
      <c r="H99" s="34" t="n"/>
      <c r="I99" s="31">
        <f>IF(OR(H99="",B99=""),"",IF(OR(C99="Closed",C99="Resolved"),"-",Setup!$G$2-H99))</f>
        <v/>
      </c>
      <c r="J99" s="32" t="n"/>
      <c r="K99" s="32" t="n"/>
    </row>
    <row r="100" ht="15" customHeight="1" s="36">
      <c r="A100" s="31">
        <f>IF(B100="","","IT-"&amp;Setup!$F$2&amp;TEXT(ROW()-1,"0000"))</f>
        <v/>
      </c>
      <c r="B100" s="32" t="n"/>
      <c r="C100" s="33" t="n"/>
      <c r="D100" s="33" t="n"/>
      <c r="E100" s="32" t="n"/>
      <c r="F100" s="32" t="n"/>
      <c r="G100" s="32" t="n"/>
      <c r="H100" s="34" t="n"/>
      <c r="I100" s="31">
        <f>IF(OR(H100="",B100=""),"",IF(OR(C100="Closed",C100="Resolved"),"-",Setup!$G$2-H100))</f>
        <v/>
      </c>
      <c r="J100" s="32" t="n"/>
      <c r="K100" s="32" t="n"/>
    </row>
    <row r="101" ht="15" customHeight="1" s="36">
      <c r="A101" s="31">
        <f>IF(B101="","","IT-"&amp;Setup!$F$2&amp;TEXT(ROW()-1,"0000"))</f>
        <v/>
      </c>
      <c r="B101" s="32" t="n"/>
      <c r="C101" s="33" t="n"/>
      <c r="D101" s="33" t="n"/>
      <c r="E101" s="32" t="n"/>
      <c r="F101" s="32" t="n"/>
      <c r="G101" s="32" t="n"/>
      <c r="H101" s="34" t="n"/>
      <c r="I101" s="31">
        <f>IF(OR(H101="",B101=""),"",IF(OR(C101="Closed",C101="Resolved"),"-",Setup!$G$2-H101))</f>
        <v/>
      </c>
      <c r="J101" s="32" t="n"/>
      <c r="K101" s="32" t="n"/>
    </row>
    <row r="102" ht="15" customHeight="1" s="36">
      <c r="A102" s="31">
        <f>IF(B102="","","IT-"&amp;Setup!$F$2&amp;TEXT(ROW()-1,"0000"))</f>
        <v/>
      </c>
      <c r="B102" s="32" t="n"/>
      <c r="C102" s="33" t="n"/>
      <c r="D102" s="33" t="n"/>
      <c r="E102" s="32" t="n"/>
      <c r="F102" s="32" t="n"/>
      <c r="G102" s="32" t="n"/>
      <c r="H102" s="34" t="n"/>
      <c r="I102" s="31">
        <f>IF(OR(H102="",B102=""),"",IF(OR(C102="Closed",C102="Resolved"),"-",Setup!$G$2-H102))</f>
        <v/>
      </c>
      <c r="J102" s="32" t="n"/>
      <c r="K102" s="32" t="n"/>
    </row>
    <row r="103" ht="15" customHeight="1" s="36">
      <c r="A103" s="31">
        <f>IF(B103="","","IT-"&amp;Setup!$F$2&amp;TEXT(ROW()-1,"0000"))</f>
        <v/>
      </c>
      <c r="B103" s="32" t="n"/>
      <c r="C103" s="33" t="n"/>
      <c r="D103" s="33" t="n"/>
      <c r="E103" s="32" t="n"/>
      <c r="F103" s="32" t="n"/>
      <c r="G103" s="32" t="n"/>
      <c r="H103" s="34" t="n"/>
      <c r="I103" s="31">
        <f>IF(OR(H103="",B103=""),"",IF(OR(C103="Closed",C103="Resolved"),"-",Setup!$G$2-H103))</f>
        <v/>
      </c>
      <c r="J103" s="32" t="n"/>
      <c r="K103" s="32" t="n"/>
    </row>
    <row r="104" ht="15" customHeight="1" s="36">
      <c r="A104" s="31">
        <f>IF(B104="","","IT-"&amp;Setup!$F$2&amp;TEXT(ROW()-1,"0000"))</f>
        <v/>
      </c>
      <c r="B104" s="32" t="n"/>
      <c r="C104" s="33" t="n"/>
      <c r="D104" s="33" t="n"/>
      <c r="E104" s="32" t="n"/>
      <c r="F104" s="32" t="n"/>
      <c r="G104" s="32" t="n"/>
      <c r="H104" s="34" t="n"/>
      <c r="I104" s="31">
        <f>IF(OR(H104="",B104=""),"",IF(OR(C104="Closed",C104="Resolved"),"-",Setup!$G$2-H104))</f>
        <v/>
      </c>
      <c r="J104" s="32" t="n"/>
      <c r="K104" s="32" t="n"/>
    </row>
    <row r="105" ht="15" customHeight="1" s="36">
      <c r="A105" s="31">
        <f>IF(B105="","","IT-"&amp;Setup!$F$2&amp;TEXT(ROW()-1,"0000"))</f>
        <v/>
      </c>
      <c r="B105" s="32" t="n"/>
      <c r="C105" s="33" t="n"/>
      <c r="D105" s="33" t="n"/>
      <c r="E105" s="32" t="n"/>
      <c r="F105" s="32" t="n"/>
      <c r="G105" s="32" t="n"/>
      <c r="H105" s="34" t="n"/>
      <c r="I105" s="31">
        <f>IF(OR(H105="",B105=""),"",IF(OR(C105="Closed",C105="Resolved"),"-",Setup!$G$2-H105))</f>
        <v/>
      </c>
      <c r="J105" s="32" t="n"/>
      <c r="K105" s="32" t="n"/>
    </row>
    <row r="106" ht="15" customHeight="1" s="36">
      <c r="A106" s="31">
        <f>IF(B106="","","IT-"&amp;Setup!$F$2&amp;TEXT(ROW()-1,"0000"))</f>
        <v/>
      </c>
      <c r="B106" s="32" t="n"/>
      <c r="C106" s="33" t="n"/>
      <c r="D106" s="33" t="n"/>
      <c r="E106" s="32" t="n"/>
      <c r="F106" s="32" t="n"/>
      <c r="G106" s="32" t="n"/>
      <c r="H106" s="34" t="n"/>
      <c r="I106" s="31">
        <f>IF(OR(H106="",B106=""),"",IF(OR(C106="Closed",C106="Resolved"),"-",Setup!$G$2-H106))</f>
        <v/>
      </c>
      <c r="J106" s="32" t="n"/>
      <c r="K106" s="32" t="n"/>
    </row>
    <row r="107" ht="15" customHeight="1" s="36">
      <c r="A107" s="31">
        <f>IF(B107="","","IT-"&amp;Setup!$F$2&amp;TEXT(ROW()-1,"0000"))</f>
        <v/>
      </c>
      <c r="B107" s="32" t="n"/>
      <c r="C107" s="33" t="n"/>
      <c r="D107" s="33" t="n"/>
      <c r="E107" s="32" t="n"/>
      <c r="F107" s="32" t="n"/>
      <c r="G107" s="32" t="n"/>
      <c r="H107" s="34" t="n"/>
      <c r="I107" s="31">
        <f>IF(OR(H107="",B107=""),"",IF(OR(C107="Closed",C107="Resolved"),"-",Setup!$G$2-H107))</f>
        <v/>
      </c>
      <c r="J107" s="32" t="n"/>
      <c r="K107" s="32" t="n"/>
    </row>
    <row r="108" ht="15" customHeight="1" s="36">
      <c r="A108" s="31">
        <f>IF(B108="","","IT-"&amp;Setup!$F$2&amp;TEXT(ROW()-1,"0000"))</f>
        <v/>
      </c>
      <c r="B108" s="32" t="n"/>
      <c r="C108" s="33" t="n"/>
      <c r="D108" s="33" t="n"/>
      <c r="E108" s="32" t="n"/>
      <c r="F108" s="32" t="n"/>
      <c r="G108" s="32" t="n"/>
      <c r="H108" s="34" t="n"/>
      <c r="I108" s="31">
        <f>IF(OR(H108="",B108=""),"",IF(OR(C108="Closed",C108="Resolved"),"-",Setup!$G$2-H108))</f>
        <v/>
      </c>
      <c r="J108" s="32" t="n"/>
      <c r="K108" s="32" t="n"/>
    </row>
    <row r="109" ht="15" customHeight="1" s="36">
      <c r="A109" s="31">
        <f>IF(B109="","","IT-"&amp;Setup!$F$2&amp;TEXT(ROW()-1,"0000"))</f>
        <v/>
      </c>
      <c r="B109" s="32" t="n"/>
      <c r="C109" s="33" t="n"/>
      <c r="D109" s="33" t="n"/>
      <c r="E109" s="32" t="n"/>
      <c r="F109" s="32" t="n"/>
      <c r="G109" s="32" t="n"/>
      <c r="H109" s="34" t="n"/>
      <c r="I109" s="31">
        <f>IF(OR(H109="",B109=""),"",IF(OR(C109="Closed",C109="Resolved"),"-",Setup!$G$2-H109))</f>
        <v/>
      </c>
      <c r="J109" s="32" t="n"/>
      <c r="K109" s="32" t="n"/>
    </row>
    <row r="110" ht="15" customHeight="1" s="36">
      <c r="A110" s="31">
        <f>IF(B110="","","IT-"&amp;Setup!$F$2&amp;TEXT(ROW()-1,"0000"))</f>
        <v/>
      </c>
      <c r="B110" s="32" t="n"/>
      <c r="C110" s="33" t="n"/>
      <c r="D110" s="33" t="n"/>
      <c r="E110" s="32" t="n"/>
      <c r="F110" s="32" t="n"/>
      <c r="G110" s="32" t="n"/>
      <c r="H110" s="34" t="n"/>
      <c r="I110" s="31">
        <f>IF(OR(H110="",B110=""),"",IF(OR(C110="Closed",C110="Resolved"),"-",Setup!$G$2-H110))</f>
        <v/>
      </c>
      <c r="J110" s="32" t="n"/>
      <c r="K110" s="32" t="n"/>
    </row>
    <row r="111" ht="15" customHeight="1" s="36">
      <c r="A111" s="31">
        <f>IF(B111="","","IT-"&amp;Setup!$F$2&amp;TEXT(ROW()-1,"0000"))</f>
        <v/>
      </c>
      <c r="B111" s="32" t="n"/>
      <c r="C111" s="33" t="n"/>
      <c r="D111" s="33" t="n"/>
      <c r="E111" s="32" t="n"/>
      <c r="F111" s="32" t="n"/>
      <c r="G111" s="32" t="n"/>
      <c r="H111" s="34" t="n"/>
      <c r="I111" s="31">
        <f>IF(OR(H111="",B111=""),"",IF(OR(C111="Closed",C111="Resolved"),"-",Setup!$G$2-H111))</f>
        <v/>
      </c>
      <c r="J111" s="32" t="n"/>
      <c r="K111" s="32" t="n"/>
    </row>
    <row r="112" ht="15" customHeight="1" s="36">
      <c r="A112" s="31">
        <f>IF(B112="","","IT-"&amp;Setup!$F$2&amp;TEXT(ROW()-1,"0000"))</f>
        <v/>
      </c>
      <c r="B112" s="32" t="n"/>
      <c r="C112" s="33" t="n"/>
      <c r="D112" s="33" t="n"/>
      <c r="E112" s="32" t="n"/>
      <c r="F112" s="32" t="n"/>
      <c r="G112" s="32" t="n"/>
      <c r="H112" s="34" t="n"/>
      <c r="I112" s="31">
        <f>IF(OR(H112="",B112=""),"",IF(OR(C112="Closed",C112="Resolved"),"-",Setup!$G$2-H112))</f>
        <v/>
      </c>
      <c r="J112" s="32" t="n"/>
      <c r="K112" s="32" t="n"/>
    </row>
    <row r="113" ht="15" customHeight="1" s="36">
      <c r="A113" s="31">
        <f>IF(B113="","","IT-"&amp;Setup!$F$2&amp;TEXT(ROW()-1,"0000"))</f>
        <v/>
      </c>
      <c r="B113" s="32" t="n"/>
      <c r="C113" s="33" t="n"/>
      <c r="D113" s="33" t="n"/>
      <c r="E113" s="32" t="n"/>
      <c r="F113" s="32" t="n"/>
      <c r="G113" s="32" t="n"/>
      <c r="H113" s="34" t="n"/>
      <c r="I113" s="31">
        <f>IF(OR(H113="",B113=""),"",IF(OR(C113="Closed",C113="Resolved"),"-",Setup!$G$2-H113))</f>
        <v/>
      </c>
      <c r="J113" s="32" t="n"/>
      <c r="K113" s="32" t="n"/>
    </row>
    <row r="114" ht="15" customHeight="1" s="36">
      <c r="A114" s="31">
        <f>IF(B114="","","IT-"&amp;Setup!$F$2&amp;TEXT(ROW()-1,"0000"))</f>
        <v/>
      </c>
      <c r="B114" s="32" t="n"/>
      <c r="C114" s="33" t="n"/>
      <c r="D114" s="33" t="n"/>
      <c r="E114" s="32" t="n"/>
      <c r="F114" s="32" t="n"/>
      <c r="G114" s="32" t="n"/>
      <c r="H114" s="34" t="n"/>
      <c r="I114" s="31">
        <f>IF(OR(H114="",B114=""),"",IF(OR(C114="Closed",C114="Resolved"),"-",Setup!$G$2-H114))</f>
        <v/>
      </c>
      <c r="J114" s="32" t="n"/>
      <c r="K114" s="32" t="n"/>
    </row>
    <row r="115" ht="15" customHeight="1" s="36">
      <c r="A115" s="31">
        <f>IF(B115="","","IT-"&amp;Setup!$F$2&amp;TEXT(ROW()-1,"0000"))</f>
        <v/>
      </c>
      <c r="B115" s="32" t="n"/>
      <c r="C115" s="33" t="n"/>
      <c r="D115" s="33" t="n"/>
      <c r="E115" s="32" t="n"/>
      <c r="F115" s="32" t="n"/>
      <c r="G115" s="32" t="n"/>
      <c r="H115" s="34" t="n"/>
      <c r="I115" s="31">
        <f>IF(OR(H115="",B115=""),"",IF(OR(C115="Closed",C115="Resolved"),"-",Setup!$G$2-H115))</f>
        <v/>
      </c>
      <c r="J115" s="32" t="n"/>
      <c r="K115" s="32" t="n"/>
    </row>
    <row r="116" ht="15" customHeight="1" s="36">
      <c r="A116" s="31">
        <f>IF(B116="","","IT-"&amp;Setup!$F$2&amp;TEXT(ROW()-1,"0000"))</f>
        <v/>
      </c>
      <c r="B116" s="32" t="n"/>
      <c r="C116" s="33" t="n"/>
      <c r="D116" s="33" t="n"/>
      <c r="E116" s="32" t="n"/>
      <c r="F116" s="32" t="n"/>
      <c r="G116" s="32" t="n"/>
      <c r="H116" s="34" t="n"/>
      <c r="I116" s="31">
        <f>IF(OR(H116="",B116=""),"",IF(OR(C116="Closed",C116="Resolved"),"-",Setup!$G$2-H116))</f>
        <v/>
      </c>
      <c r="J116" s="32" t="n"/>
      <c r="K116" s="32" t="n"/>
    </row>
    <row r="117" ht="15" customHeight="1" s="36">
      <c r="A117" s="31">
        <f>IF(B117="","","IT-"&amp;Setup!$F$2&amp;TEXT(ROW()-1,"0000"))</f>
        <v/>
      </c>
      <c r="B117" s="32" t="n"/>
      <c r="C117" s="33" t="n"/>
      <c r="D117" s="33" t="n"/>
      <c r="E117" s="32" t="n"/>
      <c r="F117" s="32" t="n"/>
      <c r="G117" s="32" t="n"/>
      <c r="H117" s="34" t="n"/>
      <c r="I117" s="31">
        <f>IF(OR(H117="",B117=""),"",IF(OR(C117="Closed",C117="Resolved"),"-",Setup!$G$2-H117))</f>
        <v/>
      </c>
      <c r="J117" s="32" t="n"/>
      <c r="K117" s="32" t="n"/>
    </row>
    <row r="118" ht="15" customHeight="1" s="36">
      <c r="A118" s="31">
        <f>IF(B118="","","IT-"&amp;Setup!$F$2&amp;TEXT(ROW()-1,"0000"))</f>
        <v/>
      </c>
      <c r="B118" s="32" t="n"/>
      <c r="C118" s="33" t="n"/>
      <c r="D118" s="33" t="n"/>
      <c r="E118" s="32" t="n"/>
      <c r="F118" s="32" t="n"/>
      <c r="G118" s="32" t="n"/>
      <c r="H118" s="34" t="n"/>
      <c r="I118" s="31">
        <f>IF(OR(H118="",B118=""),"",IF(OR(C118="Closed",C118="Resolved"),"-",Setup!$G$2-H118))</f>
        <v/>
      </c>
      <c r="J118" s="32" t="n"/>
      <c r="K118" s="32" t="n"/>
    </row>
    <row r="119" ht="15" customHeight="1" s="36">
      <c r="A119" s="31">
        <f>IF(B119="","","IT-"&amp;Setup!$F$2&amp;TEXT(ROW()-1,"0000"))</f>
        <v/>
      </c>
      <c r="B119" s="32" t="n"/>
      <c r="C119" s="33" t="n"/>
      <c r="D119" s="33" t="n"/>
      <c r="E119" s="32" t="n"/>
      <c r="F119" s="32" t="n"/>
      <c r="G119" s="32" t="n"/>
      <c r="H119" s="34" t="n"/>
      <c r="I119" s="31">
        <f>IF(OR(H119="",B119=""),"",IF(OR(C119="Closed",C119="Resolved"),"-",Setup!$G$2-H119))</f>
        <v/>
      </c>
      <c r="J119" s="32" t="n"/>
      <c r="K119" s="32" t="n"/>
    </row>
    <row r="120" ht="15" customHeight="1" s="36">
      <c r="A120" s="31">
        <f>IF(B120="","","IT-"&amp;Setup!$F$2&amp;TEXT(ROW()-1,"0000"))</f>
        <v/>
      </c>
      <c r="B120" s="32" t="n"/>
      <c r="C120" s="33" t="n"/>
      <c r="D120" s="33" t="n"/>
      <c r="E120" s="32" t="n"/>
      <c r="F120" s="32" t="n"/>
      <c r="G120" s="32" t="n"/>
      <c r="H120" s="34" t="n"/>
      <c r="I120" s="31">
        <f>IF(OR(H120="",B120=""),"",IF(OR(C120="Closed",C120="Resolved"),"-",Setup!$G$2-H120))</f>
        <v/>
      </c>
      <c r="J120" s="32" t="n"/>
      <c r="K120" s="32" t="n"/>
    </row>
    <row r="121" ht="15" customHeight="1" s="36">
      <c r="A121" s="31">
        <f>IF(B121="","","IT-"&amp;Setup!$F$2&amp;TEXT(ROW()-1,"0000"))</f>
        <v/>
      </c>
      <c r="B121" s="32" t="n"/>
      <c r="C121" s="33" t="n"/>
      <c r="D121" s="33" t="n"/>
      <c r="E121" s="32" t="n"/>
      <c r="F121" s="32" t="n"/>
      <c r="G121" s="32" t="n"/>
      <c r="H121" s="34" t="n"/>
      <c r="I121" s="31">
        <f>IF(OR(H121="",B121=""),"",IF(OR(C121="Closed",C121="Resolved"),"-",Setup!$G$2-H121))</f>
        <v/>
      </c>
      <c r="J121" s="32" t="n"/>
      <c r="K121" s="32" t="n"/>
    </row>
    <row r="122" ht="15" customHeight="1" s="36">
      <c r="A122" s="31">
        <f>IF(B122="","","IT-"&amp;Setup!$F$2&amp;TEXT(ROW()-1,"0000"))</f>
        <v/>
      </c>
      <c r="B122" s="32" t="n"/>
      <c r="C122" s="33" t="n"/>
      <c r="D122" s="33" t="n"/>
      <c r="E122" s="32" t="n"/>
      <c r="F122" s="32" t="n"/>
      <c r="G122" s="32" t="n"/>
      <c r="H122" s="34" t="n"/>
      <c r="I122" s="31">
        <f>IF(OR(H122="",B122=""),"",IF(OR(C122="Closed",C122="Resolved"),"-",Setup!$G$2-H122))</f>
        <v/>
      </c>
      <c r="J122" s="32" t="n"/>
      <c r="K122" s="32" t="n"/>
    </row>
    <row r="123" ht="15" customHeight="1" s="36">
      <c r="A123" s="31">
        <f>IF(B123="","","IT-"&amp;Setup!$F$2&amp;TEXT(ROW()-1,"0000"))</f>
        <v/>
      </c>
      <c r="B123" s="32" t="n"/>
      <c r="C123" s="33" t="n"/>
      <c r="D123" s="33" t="n"/>
      <c r="E123" s="32" t="n"/>
      <c r="F123" s="32" t="n"/>
      <c r="G123" s="32" t="n"/>
      <c r="H123" s="34" t="n"/>
      <c r="I123" s="31">
        <f>IF(OR(H123="",B123=""),"",IF(OR(C123="Closed",C123="Resolved"),"-",Setup!$G$2-H123))</f>
        <v/>
      </c>
      <c r="J123" s="32" t="n"/>
      <c r="K123" s="32" t="n"/>
    </row>
    <row r="124" ht="15" customHeight="1" s="36">
      <c r="A124" s="31">
        <f>IF(B124="","","IT-"&amp;Setup!$F$2&amp;TEXT(ROW()-1,"0000"))</f>
        <v/>
      </c>
      <c r="B124" s="32" t="n"/>
      <c r="C124" s="33" t="n"/>
      <c r="D124" s="33" t="n"/>
      <c r="E124" s="32" t="n"/>
      <c r="F124" s="32" t="n"/>
      <c r="G124" s="32" t="n"/>
      <c r="H124" s="34" t="n"/>
      <c r="I124" s="31">
        <f>IF(OR(H124="",B124=""),"",IF(OR(C124="Closed",C124="Resolved"),"-",Setup!$G$2-H124))</f>
        <v/>
      </c>
      <c r="J124" s="32" t="n"/>
      <c r="K124" s="32" t="n"/>
    </row>
    <row r="125" ht="15" customHeight="1" s="36">
      <c r="A125" s="31">
        <f>IF(B125="","","IT-"&amp;Setup!$F$2&amp;TEXT(ROW()-1,"0000"))</f>
        <v/>
      </c>
      <c r="B125" s="32" t="n"/>
      <c r="C125" s="33" t="n"/>
      <c r="D125" s="33" t="n"/>
      <c r="E125" s="32" t="n"/>
      <c r="F125" s="32" t="n"/>
      <c r="G125" s="32" t="n"/>
      <c r="H125" s="34" t="n"/>
      <c r="I125" s="31">
        <f>IF(OR(H125="",B125=""),"",IF(OR(C125="Closed",C125="Resolved"),"-",Setup!$G$2-H125))</f>
        <v/>
      </c>
      <c r="J125" s="32" t="n"/>
      <c r="K125" s="32" t="n"/>
    </row>
    <row r="126" ht="15" customHeight="1" s="36">
      <c r="A126" s="31">
        <f>IF(B126="","","IT-"&amp;Setup!$F$2&amp;TEXT(ROW()-1,"0000"))</f>
        <v/>
      </c>
      <c r="B126" s="32" t="n"/>
      <c r="C126" s="33" t="n"/>
      <c r="D126" s="33" t="n"/>
      <c r="E126" s="32" t="n"/>
      <c r="F126" s="32" t="n"/>
      <c r="G126" s="32" t="n"/>
      <c r="H126" s="34" t="n"/>
      <c r="I126" s="31">
        <f>IF(OR(H126="",B126=""),"",IF(OR(C126="Closed",C126="Resolved"),"-",Setup!$G$2-H126))</f>
        <v/>
      </c>
      <c r="J126" s="32" t="n"/>
      <c r="K126" s="32" t="n"/>
    </row>
    <row r="127" ht="15" customHeight="1" s="36">
      <c r="A127" s="31">
        <f>IF(B127="","","IT-"&amp;Setup!$F$2&amp;TEXT(ROW()-1,"0000"))</f>
        <v/>
      </c>
      <c r="B127" s="32" t="n"/>
      <c r="C127" s="33" t="n"/>
      <c r="D127" s="33" t="n"/>
      <c r="E127" s="32" t="n"/>
      <c r="F127" s="32" t="n"/>
      <c r="G127" s="32" t="n"/>
      <c r="H127" s="34" t="n"/>
      <c r="I127" s="31">
        <f>IF(OR(H127="",B127=""),"",IF(OR(C127="Closed",C127="Resolved"),"-",Setup!$G$2-H127))</f>
        <v/>
      </c>
      <c r="J127" s="32" t="n"/>
      <c r="K127" s="32" t="n"/>
    </row>
    <row r="128" ht="15" customHeight="1" s="36">
      <c r="A128" s="31">
        <f>IF(B128="","","IT-"&amp;Setup!$F$2&amp;TEXT(ROW()-1,"0000"))</f>
        <v/>
      </c>
      <c r="B128" s="32" t="n"/>
      <c r="C128" s="33" t="n"/>
      <c r="D128" s="33" t="n"/>
      <c r="E128" s="32" t="n"/>
      <c r="F128" s="32" t="n"/>
      <c r="G128" s="32" t="n"/>
      <c r="H128" s="34" t="n"/>
      <c r="I128" s="31">
        <f>IF(OR(H128="",B128=""),"",IF(OR(C128="Closed",C128="Resolved"),"-",Setup!$G$2-H128))</f>
        <v/>
      </c>
      <c r="J128" s="32" t="n"/>
      <c r="K128" s="32" t="n"/>
    </row>
    <row r="129" ht="15" customHeight="1" s="36">
      <c r="A129" s="31">
        <f>IF(B129="","","IT-"&amp;Setup!$F$2&amp;TEXT(ROW()-1,"0000"))</f>
        <v/>
      </c>
      <c r="B129" s="32" t="n"/>
      <c r="C129" s="33" t="n"/>
      <c r="D129" s="33" t="n"/>
      <c r="E129" s="32" t="n"/>
      <c r="F129" s="32" t="n"/>
      <c r="G129" s="32" t="n"/>
      <c r="H129" s="34" t="n"/>
      <c r="I129" s="31">
        <f>IF(OR(H129="",B129=""),"",IF(OR(C129="Closed",C129="Resolved"),"-",Setup!$G$2-H129))</f>
        <v/>
      </c>
      <c r="J129" s="32" t="n"/>
      <c r="K129" s="32" t="n"/>
    </row>
    <row r="130" ht="15" customHeight="1" s="36">
      <c r="A130" s="31">
        <f>IF(B130="","","IT-"&amp;Setup!$F$2&amp;TEXT(ROW()-1,"0000"))</f>
        <v/>
      </c>
      <c r="B130" s="32" t="n"/>
      <c r="C130" s="33" t="n"/>
      <c r="D130" s="33" t="n"/>
      <c r="E130" s="32" t="n"/>
      <c r="F130" s="32" t="n"/>
      <c r="G130" s="32" t="n"/>
      <c r="H130" s="34" t="n"/>
      <c r="I130" s="31">
        <f>IF(OR(H130="",B130=""),"",IF(OR(C130="Closed",C130="Resolved"),"-",Setup!$G$2-H130))</f>
        <v/>
      </c>
      <c r="J130" s="32" t="n"/>
      <c r="K130" s="32" t="n"/>
    </row>
    <row r="131" ht="15" customHeight="1" s="36">
      <c r="A131" s="31">
        <f>IF(B131="","","IT-"&amp;Setup!$F$2&amp;TEXT(ROW()-1,"0000"))</f>
        <v/>
      </c>
      <c r="B131" s="32" t="n"/>
      <c r="C131" s="33" t="n"/>
      <c r="D131" s="33" t="n"/>
      <c r="E131" s="32" t="n"/>
      <c r="F131" s="32" t="n"/>
      <c r="G131" s="32" t="n"/>
      <c r="H131" s="34" t="n"/>
      <c r="I131" s="31">
        <f>IF(OR(H131="",B131=""),"",IF(OR(C131="Closed",C131="Resolved"),"-",Setup!$G$2-H131))</f>
        <v/>
      </c>
      <c r="J131" s="32" t="n"/>
      <c r="K131" s="32" t="n"/>
    </row>
    <row r="132" ht="15" customHeight="1" s="36">
      <c r="A132" s="31">
        <f>IF(B132="","","IT-"&amp;Setup!$F$2&amp;TEXT(ROW()-1,"0000"))</f>
        <v/>
      </c>
      <c r="B132" s="32" t="n"/>
      <c r="C132" s="33" t="n"/>
      <c r="D132" s="33" t="n"/>
      <c r="E132" s="32" t="n"/>
      <c r="F132" s="32" t="n"/>
      <c r="G132" s="32" t="n"/>
      <c r="H132" s="34" t="n"/>
      <c r="I132" s="31">
        <f>IF(OR(H132="",B132=""),"",IF(OR(C132="Closed",C132="Resolved"),"-",Setup!$G$2-H132))</f>
        <v/>
      </c>
      <c r="J132" s="32" t="n"/>
      <c r="K132" s="32" t="n"/>
    </row>
    <row r="133" ht="15" customHeight="1" s="36">
      <c r="A133" s="31">
        <f>IF(B133="","","IT-"&amp;Setup!$F$2&amp;TEXT(ROW()-1,"0000"))</f>
        <v/>
      </c>
      <c r="B133" s="32" t="n"/>
      <c r="C133" s="33" t="n"/>
      <c r="D133" s="33" t="n"/>
      <c r="E133" s="32" t="n"/>
      <c r="F133" s="32" t="n"/>
      <c r="G133" s="32" t="n"/>
      <c r="H133" s="34" t="n"/>
      <c r="I133" s="31">
        <f>IF(OR(H133="",B133=""),"",IF(OR(C133="Closed",C133="Resolved"),"-",Setup!$G$2-H133))</f>
        <v/>
      </c>
      <c r="J133" s="32" t="n"/>
      <c r="K133" s="32" t="n"/>
    </row>
    <row r="134" ht="15" customHeight="1" s="36">
      <c r="A134" s="31">
        <f>IF(B134="","","IT-"&amp;Setup!$F$2&amp;TEXT(ROW()-1,"0000"))</f>
        <v/>
      </c>
      <c r="B134" s="32" t="n"/>
      <c r="C134" s="33" t="n"/>
      <c r="D134" s="33" t="n"/>
      <c r="E134" s="32" t="n"/>
      <c r="F134" s="32" t="n"/>
      <c r="G134" s="32" t="n"/>
      <c r="H134" s="34" t="n"/>
      <c r="I134" s="31">
        <f>IF(OR(H134="",B134=""),"",IF(OR(C134="Closed",C134="Resolved"),"-",Setup!$G$2-H134))</f>
        <v/>
      </c>
      <c r="J134" s="32" t="n"/>
      <c r="K134" s="32" t="n"/>
    </row>
    <row r="135" ht="15" customHeight="1" s="36">
      <c r="A135" s="31">
        <f>IF(B135="","","IT-"&amp;Setup!$F$2&amp;TEXT(ROW()-1,"0000"))</f>
        <v/>
      </c>
      <c r="B135" s="32" t="n"/>
      <c r="C135" s="33" t="n"/>
      <c r="D135" s="33" t="n"/>
      <c r="E135" s="32" t="n"/>
      <c r="F135" s="32" t="n"/>
      <c r="G135" s="32" t="n"/>
      <c r="H135" s="34" t="n"/>
      <c r="I135" s="31">
        <f>IF(OR(H135="",B135=""),"",IF(OR(C135="Closed",C135="Resolved"),"-",Setup!$G$2-H135))</f>
        <v/>
      </c>
      <c r="J135" s="32" t="n"/>
      <c r="K135" s="32" t="n"/>
    </row>
    <row r="136" ht="15" customHeight="1" s="36">
      <c r="A136" s="31">
        <f>IF(B136="","","IT-"&amp;Setup!$F$2&amp;TEXT(ROW()-1,"0000"))</f>
        <v/>
      </c>
      <c r="B136" s="32" t="n"/>
      <c r="C136" s="33" t="n"/>
      <c r="D136" s="33" t="n"/>
      <c r="E136" s="32" t="n"/>
      <c r="F136" s="32" t="n"/>
      <c r="G136" s="32" t="n"/>
      <c r="H136" s="34" t="n"/>
      <c r="I136" s="31">
        <f>IF(OR(H136="",B136=""),"",IF(OR(C136="Closed",C136="Resolved"),"-",Setup!$G$2-H136))</f>
        <v/>
      </c>
      <c r="J136" s="32" t="n"/>
      <c r="K136" s="32" t="n"/>
    </row>
    <row r="137" ht="15" customHeight="1" s="36">
      <c r="A137" s="31">
        <f>IF(B137="","","IT-"&amp;Setup!$F$2&amp;TEXT(ROW()-1,"0000"))</f>
        <v/>
      </c>
      <c r="B137" s="32" t="n"/>
      <c r="C137" s="33" t="n"/>
      <c r="D137" s="33" t="n"/>
      <c r="E137" s="32" t="n"/>
      <c r="F137" s="32" t="n"/>
      <c r="G137" s="32" t="n"/>
      <c r="H137" s="34" t="n"/>
      <c r="I137" s="31">
        <f>IF(OR(H137="",B137=""),"",IF(OR(C137="Closed",C137="Resolved"),"-",Setup!$G$2-H137))</f>
        <v/>
      </c>
      <c r="J137" s="32" t="n"/>
      <c r="K137" s="32" t="n"/>
    </row>
    <row r="138" ht="15" customHeight="1" s="36">
      <c r="A138" s="31">
        <f>IF(B138="","","IT-"&amp;Setup!$F$2&amp;TEXT(ROW()-1,"0000"))</f>
        <v/>
      </c>
      <c r="B138" s="32" t="n"/>
      <c r="C138" s="33" t="n"/>
      <c r="D138" s="33" t="n"/>
      <c r="E138" s="32" t="n"/>
      <c r="F138" s="32" t="n"/>
      <c r="G138" s="32" t="n"/>
      <c r="H138" s="34" t="n"/>
      <c r="I138" s="31">
        <f>IF(OR(H138="",B138=""),"",IF(OR(C138="Closed",C138="Resolved"),"-",Setup!$G$2-H138))</f>
        <v/>
      </c>
      <c r="J138" s="32" t="n"/>
      <c r="K138" s="32" t="n"/>
    </row>
    <row r="139" ht="15" customHeight="1" s="36">
      <c r="A139" s="31">
        <f>IF(B139="","","IT-"&amp;Setup!$F$2&amp;TEXT(ROW()-1,"0000"))</f>
        <v/>
      </c>
      <c r="B139" s="32" t="n"/>
      <c r="C139" s="33" t="n"/>
      <c r="D139" s="33" t="n"/>
      <c r="E139" s="32" t="n"/>
      <c r="F139" s="32" t="n"/>
      <c r="G139" s="32" t="n"/>
      <c r="H139" s="34" t="n"/>
      <c r="I139" s="31">
        <f>IF(OR(H139="",B139=""),"",IF(OR(C139="Closed",C139="Resolved"),"-",Setup!$G$2-H139))</f>
        <v/>
      </c>
      <c r="J139" s="32" t="n"/>
      <c r="K139" s="32" t="n"/>
    </row>
    <row r="140" ht="15" customHeight="1" s="36">
      <c r="A140" s="31">
        <f>IF(B140="","","IT-"&amp;Setup!$F$2&amp;TEXT(ROW()-1,"0000"))</f>
        <v/>
      </c>
      <c r="B140" s="32" t="n"/>
      <c r="C140" s="33" t="n"/>
      <c r="D140" s="33" t="n"/>
      <c r="E140" s="32" t="n"/>
      <c r="F140" s="32" t="n"/>
      <c r="G140" s="32" t="n"/>
      <c r="H140" s="34" t="n"/>
      <c r="I140" s="31">
        <f>IF(OR(H140="",B140=""),"",IF(OR(C140="Closed",C140="Resolved"),"-",Setup!$G$2-H140))</f>
        <v/>
      </c>
      <c r="J140" s="32" t="n"/>
      <c r="K140" s="32" t="n"/>
    </row>
    <row r="141" ht="15" customHeight="1" s="36">
      <c r="A141" s="31">
        <f>IF(B141="","","IT-"&amp;Setup!$F$2&amp;TEXT(ROW()-1,"0000"))</f>
        <v/>
      </c>
      <c r="B141" s="32" t="n"/>
      <c r="C141" s="33" t="n"/>
      <c r="D141" s="33" t="n"/>
      <c r="E141" s="32" t="n"/>
      <c r="F141" s="32" t="n"/>
      <c r="G141" s="32" t="n"/>
      <c r="H141" s="34" t="n"/>
      <c r="I141" s="31">
        <f>IF(OR(H141="",B141=""),"",IF(OR(C141="Closed",C141="Resolved"),"-",Setup!$G$2-H141))</f>
        <v/>
      </c>
      <c r="J141" s="32" t="n"/>
      <c r="K141" s="32" t="n"/>
    </row>
    <row r="142" ht="15" customHeight="1" s="36">
      <c r="A142" s="31">
        <f>IF(B142="","","IT-"&amp;Setup!$F$2&amp;TEXT(ROW()-1,"0000"))</f>
        <v/>
      </c>
      <c r="B142" s="32" t="n"/>
      <c r="C142" s="33" t="n"/>
      <c r="D142" s="33" t="n"/>
      <c r="E142" s="32" t="n"/>
      <c r="F142" s="32" t="n"/>
      <c r="G142" s="32" t="n"/>
      <c r="H142" s="34" t="n"/>
      <c r="I142" s="31">
        <f>IF(OR(H142="",B142=""),"",IF(OR(C142="Closed",C142="Resolved"),"-",Setup!$G$2-H142))</f>
        <v/>
      </c>
      <c r="J142" s="32" t="n"/>
      <c r="K142" s="32" t="n"/>
    </row>
    <row r="143" ht="15" customHeight="1" s="36">
      <c r="A143" s="31">
        <f>IF(B143="","","IT-"&amp;Setup!$F$2&amp;TEXT(ROW()-1,"0000"))</f>
        <v/>
      </c>
      <c r="B143" s="32" t="n"/>
      <c r="C143" s="33" t="n"/>
      <c r="D143" s="33" t="n"/>
      <c r="E143" s="32" t="n"/>
      <c r="F143" s="32" t="n"/>
      <c r="G143" s="32" t="n"/>
      <c r="H143" s="34" t="n"/>
      <c r="I143" s="31">
        <f>IF(OR(H143="",B143=""),"",IF(OR(C143="Closed",C143="Resolved"),"-",Setup!$G$2-H143))</f>
        <v/>
      </c>
      <c r="J143" s="32" t="n"/>
      <c r="K143" s="32" t="n"/>
    </row>
    <row r="144" ht="15" customHeight="1" s="36">
      <c r="A144" s="31">
        <f>IF(B144="","","IT-"&amp;Setup!$F$2&amp;TEXT(ROW()-1,"0000"))</f>
        <v/>
      </c>
      <c r="B144" s="32" t="n"/>
      <c r="C144" s="33" t="n"/>
      <c r="D144" s="33" t="n"/>
      <c r="E144" s="32" t="n"/>
      <c r="F144" s="32" t="n"/>
      <c r="G144" s="32" t="n"/>
      <c r="H144" s="34" t="n"/>
      <c r="I144" s="31">
        <f>IF(OR(H144="",B144=""),"",IF(OR(C144="Closed",C144="Resolved"),"-",Setup!$G$2-H144))</f>
        <v/>
      </c>
      <c r="J144" s="32" t="n"/>
      <c r="K144" s="32" t="n"/>
    </row>
    <row r="145" ht="15" customHeight="1" s="36">
      <c r="A145" s="31">
        <f>IF(B145="","","IT-"&amp;Setup!$F$2&amp;TEXT(ROW()-1,"0000"))</f>
        <v/>
      </c>
      <c r="B145" s="32" t="n"/>
      <c r="C145" s="33" t="n"/>
      <c r="D145" s="33" t="n"/>
      <c r="E145" s="32" t="n"/>
      <c r="F145" s="32" t="n"/>
      <c r="G145" s="32" t="n"/>
      <c r="H145" s="34" t="n"/>
      <c r="I145" s="31">
        <f>IF(OR(H145="",B145=""),"",IF(OR(C145="Closed",C145="Resolved"),"-",Setup!$G$2-H145))</f>
        <v/>
      </c>
      <c r="J145" s="32" t="n"/>
      <c r="K145" s="32" t="n"/>
    </row>
    <row r="146" ht="15" customHeight="1" s="36">
      <c r="A146" s="31">
        <f>IF(B146="","","IT-"&amp;Setup!$F$2&amp;TEXT(ROW()-1,"0000"))</f>
        <v/>
      </c>
      <c r="B146" s="32" t="n"/>
      <c r="C146" s="33" t="n"/>
      <c r="D146" s="33" t="n"/>
      <c r="E146" s="32" t="n"/>
      <c r="F146" s="32" t="n"/>
      <c r="G146" s="32" t="n"/>
      <c r="H146" s="34" t="n"/>
      <c r="I146" s="31">
        <f>IF(OR(H146="",B146=""),"",IF(OR(C146="Closed",C146="Resolved"),"-",Setup!$G$2-H146))</f>
        <v/>
      </c>
      <c r="J146" s="32" t="n"/>
      <c r="K146" s="32" t="n"/>
    </row>
    <row r="147" ht="15" customHeight="1" s="36">
      <c r="A147" s="31">
        <f>IF(B147="","","IT-"&amp;Setup!$F$2&amp;TEXT(ROW()-1,"0000"))</f>
        <v/>
      </c>
      <c r="B147" s="32" t="n"/>
      <c r="C147" s="33" t="n"/>
      <c r="D147" s="33" t="n"/>
      <c r="E147" s="32" t="n"/>
      <c r="F147" s="32" t="n"/>
      <c r="G147" s="32" t="n"/>
      <c r="H147" s="34" t="n"/>
      <c r="I147" s="31">
        <f>IF(OR(H147="",B147=""),"",IF(OR(C147="Closed",C147="Resolved"),"-",Setup!$G$2-H147))</f>
        <v/>
      </c>
      <c r="J147" s="32" t="n"/>
      <c r="K147" s="32" t="n"/>
    </row>
    <row r="148" ht="15" customHeight="1" s="36">
      <c r="A148" s="31">
        <f>IF(B148="","","IT-"&amp;Setup!$F$2&amp;TEXT(ROW()-1,"0000"))</f>
        <v/>
      </c>
      <c r="B148" s="32" t="n"/>
      <c r="C148" s="33" t="n"/>
      <c r="D148" s="33" t="n"/>
      <c r="E148" s="32" t="n"/>
      <c r="F148" s="32" t="n"/>
      <c r="G148" s="32" t="n"/>
      <c r="H148" s="34" t="n"/>
      <c r="I148" s="31">
        <f>IF(OR(H148="",B148=""),"",IF(OR(C148="Closed",C148="Resolved"),"-",Setup!$G$2-H148))</f>
        <v/>
      </c>
      <c r="J148" s="32" t="n"/>
      <c r="K148" s="32" t="n"/>
    </row>
    <row r="149" ht="15" customHeight="1" s="36">
      <c r="A149" s="31">
        <f>IF(B149="","","IT-"&amp;Setup!$F$2&amp;TEXT(ROW()-1,"0000"))</f>
        <v/>
      </c>
      <c r="B149" s="32" t="n"/>
      <c r="C149" s="33" t="n"/>
      <c r="D149" s="33" t="n"/>
      <c r="E149" s="32" t="n"/>
      <c r="F149" s="32" t="n"/>
      <c r="G149" s="32" t="n"/>
      <c r="H149" s="34" t="n"/>
      <c r="I149" s="31">
        <f>IF(OR(H149="",B149=""),"",IF(OR(C149="Closed",C149="Resolved"),"-",Setup!$G$2-H149))</f>
        <v/>
      </c>
      <c r="J149" s="32" t="n"/>
      <c r="K149" s="32" t="n"/>
    </row>
    <row r="150" ht="15" customHeight="1" s="36">
      <c r="A150" s="31">
        <f>IF(B150="","","IT-"&amp;Setup!$F$2&amp;TEXT(ROW()-1,"0000"))</f>
        <v/>
      </c>
      <c r="B150" s="32" t="n"/>
      <c r="C150" s="33" t="n"/>
      <c r="D150" s="33" t="n"/>
      <c r="E150" s="32" t="n"/>
      <c r="F150" s="32" t="n"/>
      <c r="G150" s="32" t="n"/>
      <c r="H150" s="34" t="n"/>
      <c r="I150" s="31">
        <f>IF(OR(H150="",B150=""),"",IF(OR(C150="Closed",C150="Resolved"),"-",Setup!$G$2-H150))</f>
        <v/>
      </c>
      <c r="J150" s="32" t="n"/>
      <c r="K150" s="32" t="n"/>
    </row>
    <row r="151" ht="15" customHeight="1" s="36">
      <c r="A151" s="31">
        <f>IF(B151="","","IT-"&amp;Setup!$F$2&amp;TEXT(ROW()-1,"0000"))</f>
        <v/>
      </c>
      <c r="B151" s="32" t="n"/>
      <c r="C151" s="33" t="n"/>
      <c r="D151" s="33" t="n"/>
      <c r="E151" s="32" t="n"/>
      <c r="F151" s="32" t="n"/>
      <c r="G151" s="32" t="n"/>
      <c r="H151" s="34" t="n"/>
      <c r="I151" s="31">
        <f>IF(OR(H151="",B151=""),"",IF(OR(C151="Closed",C151="Resolved"),"-",Setup!$G$2-H151))</f>
        <v/>
      </c>
      <c r="J151" s="32" t="n"/>
      <c r="K151" s="32" t="n"/>
    </row>
    <row r="152" ht="15" customHeight="1" s="36">
      <c r="A152" s="31">
        <f>IF(B152="","","IT-"&amp;Setup!$F$2&amp;TEXT(ROW()-1,"0000"))</f>
        <v/>
      </c>
      <c r="B152" s="32" t="n"/>
      <c r="C152" s="33" t="n"/>
      <c r="D152" s="33" t="n"/>
      <c r="E152" s="32" t="n"/>
      <c r="F152" s="32" t="n"/>
      <c r="G152" s="32" t="n"/>
      <c r="H152" s="34" t="n"/>
      <c r="I152" s="31">
        <f>IF(OR(H152="",B152=""),"",IF(OR(C152="Closed",C152="Resolved"),"-",Setup!$G$2-H152))</f>
        <v/>
      </c>
      <c r="J152" s="32" t="n"/>
      <c r="K152" s="32" t="n"/>
    </row>
    <row r="153" ht="15" customHeight="1" s="36">
      <c r="A153" s="31">
        <f>IF(B153="","","IT-"&amp;Setup!$F$2&amp;TEXT(ROW()-1,"0000"))</f>
        <v/>
      </c>
      <c r="B153" s="32" t="n"/>
      <c r="C153" s="33" t="n"/>
      <c r="D153" s="33" t="n"/>
      <c r="E153" s="32" t="n"/>
      <c r="F153" s="32" t="n"/>
      <c r="G153" s="32" t="n"/>
      <c r="H153" s="34" t="n"/>
      <c r="I153" s="31">
        <f>IF(OR(H153="",B153=""),"",IF(OR(C153="Closed",C153="Resolved"),"-",Setup!$G$2-H153))</f>
        <v/>
      </c>
      <c r="J153" s="32" t="n"/>
      <c r="K153" s="32" t="n"/>
    </row>
    <row r="154" ht="15" customHeight="1" s="36">
      <c r="A154" s="31">
        <f>IF(B154="","","IT-"&amp;Setup!$F$2&amp;TEXT(ROW()-1,"0000"))</f>
        <v/>
      </c>
      <c r="B154" s="32" t="n"/>
      <c r="C154" s="33" t="n"/>
      <c r="D154" s="33" t="n"/>
      <c r="E154" s="32" t="n"/>
      <c r="F154" s="32" t="n"/>
      <c r="G154" s="32" t="n"/>
      <c r="H154" s="34" t="n"/>
      <c r="I154" s="31">
        <f>IF(OR(H154="",B154=""),"",IF(OR(C154="Closed",C154="Resolved"),"-",Setup!$G$2-H154))</f>
        <v/>
      </c>
      <c r="J154" s="32" t="n"/>
      <c r="K154" s="32" t="n"/>
    </row>
    <row r="155" ht="15" customHeight="1" s="36">
      <c r="A155" s="31">
        <f>IF(B155="","","IT-"&amp;Setup!$F$2&amp;TEXT(ROW()-1,"0000"))</f>
        <v/>
      </c>
      <c r="B155" s="32" t="n"/>
      <c r="C155" s="33" t="n"/>
      <c r="D155" s="33" t="n"/>
      <c r="E155" s="32" t="n"/>
      <c r="F155" s="32" t="n"/>
      <c r="G155" s="32" t="n"/>
      <c r="H155" s="34" t="n"/>
      <c r="I155" s="31">
        <f>IF(OR(H155="",B155=""),"",IF(OR(C155="Closed",C155="Resolved"),"-",Setup!$G$2-H155))</f>
        <v/>
      </c>
      <c r="J155" s="32" t="n"/>
      <c r="K155" s="32" t="n"/>
    </row>
    <row r="156" ht="15" customHeight="1" s="36">
      <c r="A156" s="31">
        <f>IF(B156="","","IT-"&amp;Setup!$F$2&amp;TEXT(ROW()-1,"0000"))</f>
        <v/>
      </c>
      <c r="B156" s="32" t="n"/>
      <c r="C156" s="33" t="n"/>
      <c r="D156" s="33" t="n"/>
      <c r="E156" s="32" t="n"/>
      <c r="F156" s="32" t="n"/>
      <c r="G156" s="32" t="n"/>
      <c r="H156" s="34" t="n"/>
      <c r="I156" s="31">
        <f>IF(OR(H156="",B156=""),"",IF(OR(C156="Closed",C156="Resolved"),"-",Setup!$G$2-H156))</f>
        <v/>
      </c>
      <c r="J156" s="32" t="n"/>
      <c r="K156" s="32" t="n"/>
    </row>
    <row r="157" ht="15" customHeight="1" s="36">
      <c r="A157" s="31">
        <f>IF(B157="","","IT-"&amp;Setup!$F$2&amp;TEXT(ROW()-1,"0000"))</f>
        <v/>
      </c>
      <c r="B157" s="32" t="n"/>
      <c r="C157" s="33" t="n"/>
      <c r="D157" s="33" t="n"/>
      <c r="E157" s="32" t="n"/>
      <c r="F157" s="32" t="n"/>
      <c r="G157" s="32" t="n"/>
      <c r="H157" s="34" t="n"/>
      <c r="I157" s="31">
        <f>IF(OR(H157="",B157=""),"",IF(OR(C157="Closed",C157="Resolved"),"-",Setup!$G$2-H157))</f>
        <v/>
      </c>
      <c r="J157" s="32" t="n"/>
      <c r="K157" s="32" t="n"/>
    </row>
    <row r="158" ht="15" customHeight="1" s="36">
      <c r="A158" s="31">
        <f>IF(B158="","","IT-"&amp;Setup!$F$2&amp;TEXT(ROW()-1,"0000"))</f>
        <v/>
      </c>
      <c r="B158" s="32" t="n"/>
      <c r="C158" s="33" t="n"/>
      <c r="D158" s="33" t="n"/>
      <c r="E158" s="32" t="n"/>
      <c r="F158" s="32" t="n"/>
      <c r="G158" s="32" t="n"/>
      <c r="H158" s="34" t="n"/>
      <c r="I158" s="31">
        <f>IF(OR(H158="",B158=""),"",IF(OR(C158="Closed",C158="Resolved"),"-",Setup!$G$2-H158))</f>
        <v/>
      </c>
      <c r="J158" s="32" t="n"/>
      <c r="K158" s="32" t="n"/>
    </row>
    <row r="159" ht="15" customHeight="1" s="36">
      <c r="A159" s="31">
        <f>IF(B159="","","IT-"&amp;Setup!$F$2&amp;TEXT(ROW()-1,"0000"))</f>
        <v/>
      </c>
      <c r="B159" s="32" t="n"/>
      <c r="C159" s="33" t="n"/>
      <c r="D159" s="33" t="n"/>
      <c r="E159" s="32" t="n"/>
      <c r="F159" s="32" t="n"/>
      <c r="G159" s="32" t="n"/>
      <c r="H159" s="34" t="n"/>
      <c r="I159" s="31">
        <f>IF(OR(H159="",B159=""),"",IF(OR(C159="Closed",C159="Resolved"),"-",Setup!$G$2-H159))</f>
        <v/>
      </c>
      <c r="J159" s="32" t="n"/>
      <c r="K159" s="32" t="n"/>
    </row>
    <row r="160" ht="15" customHeight="1" s="36">
      <c r="A160" s="31">
        <f>IF(B160="","","IT-"&amp;Setup!$F$2&amp;TEXT(ROW()-1,"0000"))</f>
        <v/>
      </c>
      <c r="B160" s="32" t="n"/>
      <c r="C160" s="33" t="n"/>
      <c r="D160" s="33" t="n"/>
      <c r="E160" s="32" t="n"/>
      <c r="F160" s="32" t="n"/>
      <c r="G160" s="32" t="n"/>
      <c r="H160" s="34" t="n"/>
      <c r="I160" s="31">
        <f>IF(OR(H160="",B160=""),"",IF(OR(C160="Closed",C160="Resolved"),"-",Setup!$G$2-H160))</f>
        <v/>
      </c>
      <c r="J160" s="32" t="n"/>
      <c r="K160" s="32" t="n"/>
    </row>
    <row r="161" ht="15" customHeight="1" s="36">
      <c r="A161" s="31">
        <f>IF(B161="","","IT-"&amp;Setup!$F$2&amp;TEXT(ROW()-1,"0000"))</f>
        <v/>
      </c>
      <c r="B161" s="32" t="n"/>
      <c r="C161" s="33" t="n"/>
      <c r="D161" s="33" t="n"/>
      <c r="E161" s="32" t="n"/>
      <c r="F161" s="32" t="n"/>
      <c r="G161" s="32" t="n"/>
      <c r="H161" s="34" t="n"/>
      <c r="I161" s="31">
        <f>IF(OR(H161="",B161=""),"",IF(OR(C161="Closed",C161="Resolved"),"-",Setup!$G$2-H161))</f>
        <v/>
      </c>
      <c r="J161" s="32" t="n"/>
      <c r="K161" s="32" t="n"/>
    </row>
    <row r="162" ht="15" customHeight="1" s="36">
      <c r="A162" s="31">
        <f>IF(B162="","","IT-"&amp;Setup!$F$2&amp;TEXT(ROW()-1,"0000"))</f>
        <v/>
      </c>
      <c r="B162" s="32" t="n"/>
      <c r="C162" s="33" t="n"/>
      <c r="D162" s="33" t="n"/>
      <c r="E162" s="32" t="n"/>
      <c r="F162" s="32" t="n"/>
      <c r="G162" s="32" t="n"/>
      <c r="H162" s="34" t="n"/>
      <c r="I162" s="31">
        <f>IF(OR(H162="",B162=""),"",IF(OR(C162="Closed",C162="Resolved"),"-",Setup!$G$2-H162))</f>
        <v/>
      </c>
      <c r="J162" s="32" t="n"/>
      <c r="K162" s="32" t="n"/>
    </row>
    <row r="163" ht="15" customHeight="1" s="36">
      <c r="A163" s="31">
        <f>IF(B163="","","IT-"&amp;Setup!$F$2&amp;TEXT(ROW()-1,"0000"))</f>
        <v/>
      </c>
      <c r="B163" s="32" t="n"/>
      <c r="C163" s="33" t="n"/>
      <c r="D163" s="33" t="n"/>
      <c r="E163" s="32" t="n"/>
      <c r="F163" s="32" t="n"/>
      <c r="G163" s="32" t="n"/>
      <c r="H163" s="34" t="n"/>
      <c r="I163" s="31">
        <f>IF(OR(H163="",B163=""),"",IF(OR(C163="Closed",C163="Resolved"),"-",Setup!$G$2-H163))</f>
        <v/>
      </c>
      <c r="J163" s="32" t="n"/>
      <c r="K163" s="32" t="n"/>
    </row>
    <row r="164" ht="15" customHeight="1" s="36">
      <c r="A164" s="31">
        <f>IF(B164="","","IT-"&amp;Setup!$F$2&amp;TEXT(ROW()-1,"0000"))</f>
        <v/>
      </c>
      <c r="B164" s="32" t="n"/>
      <c r="C164" s="33" t="n"/>
      <c r="D164" s="33" t="n"/>
      <c r="E164" s="32" t="n"/>
      <c r="F164" s="32" t="n"/>
      <c r="G164" s="32" t="n"/>
      <c r="H164" s="34" t="n"/>
      <c r="I164" s="31">
        <f>IF(OR(H164="",B164=""),"",IF(OR(C164="Closed",C164="Resolved"),"-",Setup!$G$2-H164))</f>
        <v/>
      </c>
      <c r="J164" s="32" t="n"/>
      <c r="K164" s="32" t="n"/>
    </row>
    <row r="165" ht="15" customHeight="1" s="36">
      <c r="A165" s="31">
        <f>IF(B165="","","IT-"&amp;Setup!$F$2&amp;TEXT(ROW()-1,"0000"))</f>
        <v/>
      </c>
      <c r="B165" s="32" t="n"/>
      <c r="C165" s="33" t="n"/>
      <c r="D165" s="33" t="n"/>
      <c r="E165" s="32" t="n"/>
      <c r="F165" s="32" t="n"/>
      <c r="G165" s="32" t="n"/>
      <c r="H165" s="34" t="n"/>
      <c r="I165" s="31">
        <f>IF(OR(H165="",B165=""),"",IF(OR(C165="Closed",C165="Resolved"),"-",Setup!$G$2-H165))</f>
        <v/>
      </c>
      <c r="J165" s="32" t="n"/>
      <c r="K165" s="32" t="n"/>
    </row>
    <row r="166" ht="15" customHeight="1" s="36">
      <c r="A166" s="31">
        <f>IF(B166="","","IT-"&amp;Setup!$F$2&amp;TEXT(ROW()-1,"0000"))</f>
        <v/>
      </c>
      <c r="B166" s="32" t="n"/>
      <c r="C166" s="33" t="n"/>
      <c r="D166" s="33" t="n"/>
      <c r="E166" s="32" t="n"/>
      <c r="F166" s="32" t="n"/>
      <c r="G166" s="32" t="n"/>
      <c r="H166" s="34" t="n"/>
      <c r="I166" s="31">
        <f>IF(OR(H166="",B166=""),"",IF(OR(C166="Closed",C166="Resolved"),"-",Setup!$G$2-H166))</f>
        <v/>
      </c>
      <c r="J166" s="32" t="n"/>
      <c r="K166" s="32" t="n"/>
    </row>
    <row r="167" ht="15" customHeight="1" s="36">
      <c r="A167" s="31">
        <f>IF(B167="","","IT-"&amp;Setup!$F$2&amp;TEXT(ROW()-1,"0000"))</f>
        <v/>
      </c>
      <c r="B167" s="32" t="n"/>
      <c r="C167" s="33" t="n"/>
      <c r="D167" s="33" t="n"/>
      <c r="E167" s="32" t="n"/>
      <c r="F167" s="32" t="n"/>
      <c r="G167" s="32" t="n"/>
      <c r="H167" s="34" t="n"/>
      <c r="I167" s="31">
        <f>IF(OR(H167="",B167=""),"",IF(OR(C167="Closed",C167="Resolved"),"-",Setup!$G$2-H167))</f>
        <v/>
      </c>
      <c r="J167" s="32" t="n"/>
      <c r="K167" s="32" t="n"/>
    </row>
    <row r="168" ht="15" customHeight="1" s="36">
      <c r="A168" s="31">
        <f>IF(B168="","","IT-"&amp;Setup!$F$2&amp;TEXT(ROW()-1,"0000"))</f>
        <v/>
      </c>
      <c r="B168" s="32" t="n"/>
      <c r="C168" s="33" t="n"/>
      <c r="D168" s="33" t="n"/>
      <c r="E168" s="32" t="n"/>
      <c r="F168" s="32" t="n"/>
      <c r="G168" s="32" t="n"/>
      <c r="H168" s="34" t="n"/>
      <c r="I168" s="31">
        <f>IF(OR(H168="",B168=""),"",IF(OR(C168="Closed",C168="Resolved"),"-",Setup!$G$2-H168))</f>
        <v/>
      </c>
      <c r="J168" s="32" t="n"/>
      <c r="K168" s="32" t="n"/>
    </row>
    <row r="169" ht="15" customHeight="1" s="36">
      <c r="A169" s="31">
        <f>IF(B169="","","IT-"&amp;Setup!$F$2&amp;TEXT(ROW()-1,"0000"))</f>
        <v/>
      </c>
      <c r="B169" s="32" t="n"/>
      <c r="C169" s="33" t="n"/>
      <c r="D169" s="33" t="n"/>
      <c r="E169" s="32" t="n"/>
      <c r="F169" s="32" t="n"/>
      <c r="G169" s="32" t="n"/>
      <c r="H169" s="34" t="n"/>
      <c r="I169" s="31">
        <f>IF(OR(H169="",B169=""),"",IF(OR(C169="Closed",C169="Resolved"),"-",Setup!$G$2-H169))</f>
        <v/>
      </c>
      <c r="J169" s="32" t="n"/>
      <c r="K169" s="32" t="n"/>
    </row>
    <row r="170" ht="15" customHeight="1" s="36">
      <c r="A170" s="31">
        <f>IF(B170="","","IT-"&amp;Setup!$F$2&amp;TEXT(ROW()-1,"0000"))</f>
        <v/>
      </c>
      <c r="B170" s="32" t="n"/>
      <c r="C170" s="33" t="n"/>
      <c r="D170" s="33" t="n"/>
      <c r="E170" s="32" t="n"/>
      <c r="F170" s="32" t="n"/>
      <c r="G170" s="32" t="n"/>
      <c r="H170" s="34" t="n"/>
      <c r="I170" s="31">
        <f>IF(OR(H170="",B170=""),"",IF(OR(C170="Closed",C170="Resolved"),"-",Setup!$G$2-H170))</f>
        <v/>
      </c>
      <c r="J170" s="32" t="n"/>
      <c r="K170" s="32" t="n"/>
    </row>
    <row r="171" ht="15" customHeight="1" s="36">
      <c r="A171" s="31">
        <f>IF(B171="","","IT-"&amp;Setup!$F$2&amp;TEXT(ROW()-1,"0000"))</f>
        <v/>
      </c>
      <c r="B171" s="32" t="n"/>
      <c r="C171" s="33" t="n"/>
      <c r="D171" s="33" t="n"/>
      <c r="E171" s="32" t="n"/>
      <c r="F171" s="32" t="n"/>
      <c r="G171" s="32" t="n"/>
      <c r="H171" s="34" t="n"/>
      <c r="I171" s="31">
        <f>IF(OR(H171="",B171=""),"",IF(OR(C171="Closed",C171="Resolved"),"-",Setup!$G$2-H171))</f>
        <v/>
      </c>
      <c r="J171" s="32" t="n"/>
      <c r="K171" s="32" t="n"/>
    </row>
    <row r="172" ht="15" customHeight="1" s="36">
      <c r="A172" s="31">
        <f>IF(B172="","","IT-"&amp;Setup!$F$2&amp;TEXT(ROW()-1,"0000"))</f>
        <v/>
      </c>
      <c r="B172" s="32" t="n"/>
      <c r="C172" s="33" t="n"/>
      <c r="D172" s="33" t="n"/>
      <c r="E172" s="32" t="n"/>
      <c r="F172" s="32" t="n"/>
      <c r="G172" s="32" t="n"/>
      <c r="H172" s="34" t="n"/>
      <c r="I172" s="31">
        <f>IF(OR(H172="",B172=""),"",IF(OR(C172="Closed",C172="Resolved"),"-",Setup!$G$2-H172))</f>
        <v/>
      </c>
      <c r="J172" s="32" t="n"/>
      <c r="K172" s="32" t="n"/>
    </row>
    <row r="173" ht="15" customHeight="1" s="36">
      <c r="A173" s="31">
        <f>IF(B173="","","IT-"&amp;Setup!$F$2&amp;TEXT(ROW()-1,"0000"))</f>
        <v/>
      </c>
      <c r="B173" s="32" t="n"/>
      <c r="C173" s="33" t="n"/>
      <c r="D173" s="33" t="n"/>
      <c r="E173" s="32" t="n"/>
      <c r="F173" s="32" t="n"/>
      <c r="G173" s="32" t="n"/>
      <c r="H173" s="34" t="n"/>
      <c r="I173" s="31">
        <f>IF(OR(H173="",B173=""),"",IF(OR(C173="Closed",C173="Resolved"),"-",Setup!$G$2-H173))</f>
        <v/>
      </c>
      <c r="J173" s="32" t="n"/>
      <c r="K173" s="32" t="n"/>
    </row>
    <row r="174" ht="15" customHeight="1" s="36">
      <c r="A174" s="31">
        <f>IF(B174="","","IT-"&amp;Setup!$F$2&amp;TEXT(ROW()-1,"0000"))</f>
        <v/>
      </c>
      <c r="B174" s="32" t="n"/>
      <c r="C174" s="33" t="n"/>
      <c r="D174" s="33" t="n"/>
      <c r="E174" s="32" t="n"/>
      <c r="F174" s="32" t="n"/>
      <c r="G174" s="32" t="n"/>
      <c r="H174" s="34" t="n"/>
      <c r="I174" s="31">
        <f>IF(OR(H174="",B174=""),"",IF(OR(C174="Closed",C174="Resolved"),"-",Setup!$G$2-H174))</f>
        <v/>
      </c>
      <c r="J174" s="32" t="n"/>
      <c r="K174" s="32" t="n"/>
    </row>
    <row r="175" ht="15" customHeight="1" s="36">
      <c r="A175" s="31">
        <f>IF(B175="","","IT-"&amp;Setup!$F$2&amp;TEXT(ROW()-1,"0000"))</f>
        <v/>
      </c>
      <c r="B175" s="32" t="n"/>
      <c r="C175" s="33" t="n"/>
      <c r="D175" s="33" t="n"/>
      <c r="E175" s="32" t="n"/>
      <c r="F175" s="32" t="n"/>
      <c r="G175" s="32" t="n"/>
      <c r="H175" s="34" t="n"/>
      <c r="I175" s="31">
        <f>IF(OR(H175="",B175=""),"",IF(OR(C175="Closed",C175="Resolved"),"-",Setup!$G$2-H175))</f>
        <v/>
      </c>
      <c r="J175" s="32" t="n"/>
      <c r="K175" s="32" t="n"/>
    </row>
    <row r="176" ht="15" customHeight="1" s="36">
      <c r="A176" s="31">
        <f>IF(B176="","","IT-"&amp;Setup!$F$2&amp;TEXT(ROW()-1,"0000"))</f>
        <v/>
      </c>
      <c r="B176" s="32" t="n"/>
      <c r="C176" s="33" t="n"/>
      <c r="D176" s="33" t="n"/>
      <c r="E176" s="32" t="n"/>
      <c r="F176" s="32" t="n"/>
      <c r="G176" s="32" t="n"/>
      <c r="H176" s="34" t="n"/>
      <c r="I176" s="31">
        <f>IF(OR(H176="",B176=""),"",IF(OR(C176="Closed",C176="Resolved"),"-",Setup!$G$2-H176))</f>
        <v/>
      </c>
      <c r="J176" s="32" t="n"/>
      <c r="K176" s="32" t="n"/>
    </row>
    <row r="177" ht="15" customHeight="1" s="36">
      <c r="A177" s="31">
        <f>IF(B177="","","IT-"&amp;Setup!$F$2&amp;TEXT(ROW()-1,"0000"))</f>
        <v/>
      </c>
      <c r="B177" s="32" t="n"/>
      <c r="C177" s="33" t="n"/>
      <c r="D177" s="33" t="n"/>
      <c r="E177" s="32" t="n"/>
      <c r="F177" s="32" t="n"/>
      <c r="G177" s="32" t="n"/>
      <c r="H177" s="34" t="n"/>
      <c r="I177" s="31">
        <f>IF(OR(H177="",B177=""),"",IF(OR(C177="Closed",C177="Resolved"),"-",Setup!$G$2-H177))</f>
        <v/>
      </c>
      <c r="J177" s="32" t="n"/>
      <c r="K177" s="32" t="n"/>
    </row>
    <row r="178" ht="15" customHeight="1" s="36">
      <c r="A178" s="31">
        <f>IF(B178="","","IT-"&amp;Setup!$F$2&amp;TEXT(ROW()-1,"0000"))</f>
        <v/>
      </c>
      <c r="B178" s="32" t="n"/>
      <c r="C178" s="33" t="n"/>
      <c r="D178" s="33" t="n"/>
      <c r="E178" s="32" t="n"/>
      <c r="F178" s="32" t="n"/>
      <c r="G178" s="32" t="n"/>
      <c r="H178" s="34" t="n"/>
      <c r="I178" s="31">
        <f>IF(OR(H178="",B178=""),"",IF(OR(C178="Closed",C178="Resolved"),"-",Setup!$G$2-H178))</f>
        <v/>
      </c>
      <c r="J178" s="32" t="n"/>
      <c r="K178" s="32" t="n"/>
    </row>
    <row r="179" ht="15" customHeight="1" s="36">
      <c r="A179" s="31">
        <f>IF(B179="","","IT-"&amp;Setup!$F$2&amp;TEXT(ROW()-1,"0000"))</f>
        <v/>
      </c>
      <c r="B179" s="32" t="n"/>
      <c r="C179" s="33" t="n"/>
      <c r="D179" s="33" t="n"/>
      <c r="E179" s="32" t="n"/>
      <c r="F179" s="32" t="n"/>
      <c r="G179" s="32" t="n"/>
      <c r="H179" s="34" t="n"/>
      <c r="I179" s="31">
        <f>IF(OR(H179="",B179=""),"",IF(OR(C179="Closed",C179="Resolved"),"-",Setup!$G$2-H179))</f>
        <v/>
      </c>
      <c r="J179" s="32" t="n"/>
      <c r="K179" s="32" t="n"/>
    </row>
    <row r="180" ht="15" customHeight="1" s="36">
      <c r="A180" s="31">
        <f>IF(B180="","","IT-"&amp;Setup!$F$2&amp;TEXT(ROW()-1,"0000"))</f>
        <v/>
      </c>
      <c r="B180" s="32" t="n"/>
      <c r="C180" s="33" t="n"/>
      <c r="D180" s="33" t="n"/>
      <c r="E180" s="32" t="n"/>
      <c r="F180" s="32" t="n"/>
      <c r="G180" s="32" t="n"/>
      <c r="H180" s="34" t="n"/>
      <c r="I180" s="31">
        <f>IF(OR(H180="",B180=""),"",IF(OR(C180="Closed",C180="Resolved"),"-",Setup!$G$2-H180))</f>
        <v/>
      </c>
      <c r="J180" s="32" t="n"/>
      <c r="K180" s="32" t="n"/>
    </row>
    <row r="181" ht="15" customHeight="1" s="36">
      <c r="A181" s="31">
        <f>IF(B181="","","IT-"&amp;Setup!$F$2&amp;TEXT(ROW()-1,"0000"))</f>
        <v/>
      </c>
      <c r="B181" s="32" t="n"/>
      <c r="C181" s="33" t="n"/>
      <c r="D181" s="33" t="n"/>
      <c r="E181" s="32" t="n"/>
      <c r="F181" s="32" t="n"/>
      <c r="G181" s="32" t="n"/>
      <c r="H181" s="34" t="n"/>
      <c r="I181" s="31">
        <f>IF(OR(H181="",B181=""),"",IF(OR(C181="Closed",C181="Resolved"),"-",Setup!$G$2-H181))</f>
        <v/>
      </c>
      <c r="J181" s="32" t="n"/>
      <c r="K181" s="32" t="n"/>
    </row>
    <row r="182" ht="15" customHeight="1" s="36">
      <c r="A182" s="31">
        <f>IF(B182="","","IT-"&amp;Setup!$F$2&amp;TEXT(ROW()-1,"0000"))</f>
        <v/>
      </c>
      <c r="B182" s="32" t="n"/>
      <c r="C182" s="33" t="n"/>
      <c r="D182" s="33" t="n"/>
      <c r="E182" s="32" t="n"/>
      <c r="F182" s="32" t="n"/>
      <c r="G182" s="32" t="n"/>
      <c r="H182" s="34" t="n"/>
      <c r="I182" s="31">
        <f>IF(OR(H182="",B182=""),"",IF(OR(C182="Closed",C182="Resolved"),"-",Setup!$G$2-H182))</f>
        <v/>
      </c>
      <c r="J182" s="32" t="n"/>
      <c r="K182" s="32" t="n"/>
    </row>
    <row r="183" ht="15" customHeight="1" s="36">
      <c r="A183" s="31">
        <f>IF(B183="","","IT-"&amp;Setup!$F$2&amp;TEXT(ROW()-1,"0000"))</f>
        <v/>
      </c>
      <c r="B183" s="32" t="n"/>
      <c r="C183" s="33" t="n"/>
      <c r="D183" s="33" t="n"/>
      <c r="E183" s="32" t="n"/>
      <c r="F183" s="32" t="n"/>
      <c r="G183" s="32" t="n"/>
      <c r="H183" s="34" t="n"/>
      <c r="I183" s="31">
        <f>IF(OR(H183="",B183=""),"",IF(OR(C183="Closed",C183="Resolved"),"-",Setup!$G$2-H183))</f>
        <v/>
      </c>
      <c r="J183" s="32" t="n"/>
      <c r="K183" s="32" t="n"/>
    </row>
    <row r="184" ht="15" customHeight="1" s="36">
      <c r="A184" s="31">
        <f>IF(B184="","","IT-"&amp;Setup!$F$2&amp;TEXT(ROW()-1,"0000"))</f>
        <v/>
      </c>
      <c r="B184" s="32" t="n"/>
      <c r="C184" s="33" t="n"/>
      <c r="D184" s="33" t="n"/>
      <c r="E184" s="32" t="n"/>
      <c r="F184" s="32" t="n"/>
      <c r="G184" s="32" t="n"/>
      <c r="H184" s="34" t="n"/>
      <c r="I184" s="31">
        <f>IF(OR(H184="",B184=""),"",IF(OR(C184="Closed",C184="Resolved"),"-",Setup!$G$2-H184))</f>
        <v/>
      </c>
      <c r="J184" s="32" t="n"/>
      <c r="K184" s="32" t="n"/>
    </row>
    <row r="185" ht="15" customHeight="1" s="36">
      <c r="A185" s="31">
        <f>IF(B185="","","IT-"&amp;Setup!$F$2&amp;TEXT(ROW()-1,"0000"))</f>
        <v/>
      </c>
      <c r="B185" s="32" t="n"/>
      <c r="C185" s="33" t="n"/>
      <c r="D185" s="33" t="n"/>
      <c r="E185" s="32" t="n"/>
      <c r="F185" s="32" t="n"/>
      <c r="G185" s="32" t="n"/>
      <c r="H185" s="34" t="n"/>
      <c r="I185" s="31">
        <f>IF(OR(H185="",B185=""),"",IF(OR(C185="Closed",C185="Resolved"),"-",Setup!$G$2-H185))</f>
        <v/>
      </c>
      <c r="J185" s="32" t="n"/>
      <c r="K185" s="32" t="n"/>
    </row>
    <row r="186" ht="15" customHeight="1" s="36">
      <c r="A186" s="31">
        <f>IF(B186="","","IT-"&amp;Setup!$F$2&amp;TEXT(ROW()-1,"0000"))</f>
        <v/>
      </c>
      <c r="B186" s="32" t="n"/>
      <c r="C186" s="33" t="n"/>
      <c r="D186" s="33" t="n"/>
      <c r="E186" s="32" t="n"/>
      <c r="F186" s="32" t="n"/>
      <c r="G186" s="32" t="n"/>
      <c r="H186" s="34" t="n"/>
      <c r="I186" s="31">
        <f>IF(OR(H186="",B186=""),"",IF(OR(C186="Closed",C186="Resolved"),"-",Setup!$G$2-H186))</f>
        <v/>
      </c>
      <c r="J186" s="32" t="n"/>
      <c r="K186" s="32" t="n"/>
    </row>
    <row r="187" ht="15" customHeight="1" s="36">
      <c r="A187" s="31">
        <f>IF(B187="","","IT-"&amp;Setup!$F$2&amp;TEXT(ROW()-1,"0000"))</f>
        <v/>
      </c>
      <c r="B187" s="32" t="n"/>
      <c r="C187" s="33" t="n"/>
      <c r="D187" s="33" t="n"/>
      <c r="E187" s="32" t="n"/>
      <c r="F187" s="32" t="n"/>
      <c r="G187" s="32" t="n"/>
      <c r="H187" s="34" t="n"/>
      <c r="I187" s="31">
        <f>IF(OR(H187="",B187=""),"",IF(OR(C187="Closed",C187="Resolved"),"-",Setup!$G$2-H187))</f>
        <v/>
      </c>
      <c r="J187" s="32" t="n"/>
      <c r="K187" s="32" t="n"/>
    </row>
    <row r="188" ht="15" customHeight="1" s="36">
      <c r="A188" s="31">
        <f>IF(B188="","","IT-"&amp;Setup!$F$2&amp;TEXT(ROW()-1,"0000"))</f>
        <v/>
      </c>
      <c r="B188" s="32" t="n"/>
      <c r="C188" s="33" t="n"/>
      <c r="D188" s="33" t="n"/>
      <c r="E188" s="32" t="n"/>
      <c r="F188" s="32" t="n"/>
      <c r="G188" s="32" t="n"/>
      <c r="H188" s="34" t="n"/>
      <c r="I188" s="31">
        <f>IF(OR(H188="",B188=""),"",IF(OR(C188="Closed",C188="Resolved"),"-",Setup!$G$2-H188))</f>
        <v/>
      </c>
      <c r="J188" s="32" t="n"/>
      <c r="K188" s="32" t="n"/>
    </row>
    <row r="189" ht="15" customHeight="1" s="36">
      <c r="A189" s="31">
        <f>IF(B189="","","IT-"&amp;Setup!$F$2&amp;TEXT(ROW()-1,"0000"))</f>
        <v/>
      </c>
      <c r="B189" s="32" t="n"/>
      <c r="C189" s="33" t="n"/>
      <c r="D189" s="33" t="n"/>
      <c r="E189" s="32" t="n"/>
      <c r="F189" s="32" t="n"/>
      <c r="G189" s="32" t="n"/>
      <c r="H189" s="34" t="n"/>
      <c r="I189" s="31">
        <f>IF(OR(H189="",B189=""),"",IF(OR(C189="Closed",C189="Resolved"),"-",Setup!$G$2-H189))</f>
        <v/>
      </c>
      <c r="J189" s="32" t="n"/>
      <c r="K189" s="32" t="n"/>
    </row>
    <row r="190" ht="15" customHeight="1" s="36">
      <c r="A190" s="31">
        <f>IF(B190="","","IT-"&amp;Setup!$F$2&amp;TEXT(ROW()-1,"0000"))</f>
        <v/>
      </c>
      <c r="B190" s="32" t="n"/>
      <c r="C190" s="33" t="n"/>
      <c r="D190" s="33" t="n"/>
      <c r="E190" s="32" t="n"/>
      <c r="F190" s="32" t="n"/>
      <c r="G190" s="32" t="n"/>
      <c r="H190" s="34" t="n"/>
      <c r="I190" s="31">
        <f>IF(OR(H190="",B190=""),"",IF(OR(C190="Closed",C190="Resolved"),"-",Setup!$G$2-H190))</f>
        <v/>
      </c>
      <c r="J190" s="32" t="n"/>
      <c r="K190" s="32" t="n"/>
    </row>
    <row r="191" ht="15" customHeight="1" s="36">
      <c r="A191" s="31">
        <f>IF(B191="","","IT-"&amp;Setup!$F$2&amp;TEXT(ROW()-1,"0000"))</f>
        <v/>
      </c>
      <c r="B191" s="32" t="n"/>
      <c r="C191" s="33" t="n"/>
      <c r="D191" s="33" t="n"/>
      <c r="E191" s="32" t="n"/>
      <c r="F191" s="32" t="n"/>
      <c r="G191" s="32" t="n"/>
      <c r="H191" s="34" t="n"/>
      <c r="I191" s="31">
        <f>IF(OR(H191="",B191=""),"",IF(OR(C191="Closed",C191="Resolved"),"-",Setup!$G$2-H191))</f>
        <v/>
      </c>
      <c r="J191" s="32" t="n"/>
      <c r="K191" s="32" t="n"/>
    </row>
    <row r="192" ht="15" customHeight="1" s="36">
      <c r="A192" s="31">
        <f>IF(B192="","","IT-"&amp;Setup!$F$2&amp;TEXT(ROW()-1,"0000"))</f>
        <v/>
      </c>
      <c r="B192" s="32" t="n"/>
      <c r="C192" s="33" t="n"/>
      <c r="D192" s="33" t="n"/>
      <c r="E192" s="32" t="n"/>
      <c r="F192" s="32" t="n"/>
      <c r="G192" s="32" t="n"/>
      <c r="H192" s="34" t="n"/>
      <c r="I192" s="31">
        <f>IF(OR(H192="",B192=""),"",IF(OR(C192="Closed",C192="Resolved"),"-",Setup!$G$2-H192))</f>
        <v/>
      </c>
      <c r="J192" s="32" t="n"/>
      <c r="K192" s="32" t="n"/>
    </row>
    <row r="193" ht="15" customHeight="1" s="36">
      <c r="A193" s="31">
        <f>IF(B193="","","IT-"&amp;Setup!$F$2&amp;TEXT(ROW()-1,"0000"))</f>
        <v/>
      </c>
      <c r="B193" s="32" t="n"/>
      <c r="C193" s="33" t="n"/>
      <c r="D193" s="33" t="n"/>
      <c r="E193" s="32" t="n"/>
      <c r="F193" s="32" t="n"/>
      <c r="G193" s="32" t="n"/>
      <c r="H193" s="34" t="n"/>
      <c r="I193" s="31">
        <f>IF(OR(H193="",B193=""),"",IF(OR(C193="Closed",C193="Resolved"),"-",Setup!$G$2-H193))</f>
        <v/>
      </c>
      <c r="J193" s="32" t="n"/>
      <c r="K193" s="32" t="n"/>
    </row>
    <row r="194" ht="15" customHeight="1" s="36">
      <c r="A194" s="31">
        <f>IF(B194="","","IT-"&amp;Setup!$F$2&amp;TEXT(ROW()-1,"0000"))</f>
        <v/>
      </c>
      <c r="B194" s="32" t="n"/>
      <c r="C194" s="33" t="n"/>
      <c r="D194" s="33" t="n"/>
      <c r="E194" s="32" t="n"/>
      <c r="F194" s="32" t="n"/>
      <c r="G194" s="32" t="n"/>
      <c r="H194" s="34" t="n"/>
      <c r="I194" s="31">
        <f>IF(OR(H194="",B194=""),"",IF(OR(C194="Closed",C194="Resolved"),"-",Setup!$G$2-H194))</f>
        <v/>
      </c>
      <c r="J194" s="32" t="n"/>
      <c r="K194" s="32" t="n"/>
    </row>
    <row r="195" ht="15" customHeight="1" s="36">
      <c r="A195" s="31">
        <f>IF(B195="","","IT-"&amp;Setup!$F$2&amp;TEXT(ROW()-1,"0000"))</f>
        <v/>
      </c>
      <c r="B195" s="32" t="n"/>
      <c r="C195" s="33" t="n"/>
      <c r="D195" s="33" t="n"/>
      <c r="E195" s="32" t="n"/>
      <c r="F195" s="32" t="n"/>
      <c r="G195" s="32" t="n"/>
      <c r="H195" s="34" t="n"/>
      <c r="I195" s="31">
        <f>IF(OR(H195="",B195=""),"",IF(OR(C195="Closed",C195="Resolved"),"-",Setup!$G$2-H195))</f>
        <v/>
      </c>
      <c r="J195" s="32" t="n"/>
      <c r="K195" s="32" t="n"/>
    </row>
    <row r="196" ht="15" customHeight="1" s="36">
      <c r="A196" s="31">
        <f>IF(B196="","","IT-"&amp;Setup!$F$2&amp;TEXT(ROW()-1,"0000"))</f>
        <v/>
      </c>
      <c r="B196" s="32" t="n"/>
      <c r="C196" s="33" t="n"/>
      <c r="D196" s="33" t="n"/>
      <c r="E196" s="32" t="n"/>
      <c r="F196" s="32" t="n"/>
      <c r="G196" s="32" t="n"/>
      <c r="H196" s="34" t="n"/>
      <c r="I196" s="31">
        <f>IF(OR(H196="",B196=""),"",IF(OR(C196="Closed",C196="Resolved"),"-",Setup!$G$2-H196))</f>
        <v/>
      </c>
      <c r="J196" s="32" t="n"/>
      <c r="K196" s="32" t="n"/>
    </row>
    <row r="197" ht="15" customHeight="1" s="36">
      <c r="A197" s="31">
        <f>IF(B197="","","IT-"&amp;Setup!$F$2&amp;TEXT(ROW()-1,"0000"))</f>
        <v/>
      </c>
      <c r="B197" s="32" t="n"/>
      <c r="C197" s="33" t="n"/>
      <c r="D197" s="33" t="n"/>
      <c r="E197" s="32" t="n"/>
      <c r="F197" s="32" t="n"/>
      <c r="G197" s="32" t="n"/>
      <c r="H197" s="34" t="n"/>
      <c r="I197" s="31">
        <f>IF(OR(H197="",B197=""),"",IF(OR(C197="Closed",C197="Resolved"),"-",Setup!$G$2-H197))</f>
        <v/>
      </c>
      <c r="J197" s="32" t="n"/>
      <c r="K197" s="32" t="n"/>
    </row>
    <row r="198" ht="15" customHeight="1" s="36">
      <c r="A198" s="31">
        <f>IF(B198="","","IT-"&amp;Setup!$F$2&amp;TEXT(ROW()-1,"0000"))</f>
        <v/>
      </c>
      <c r="B198" s="32" t="n"/>
      <c r="C198" s="33" t="n"/>
      <c r="D198" s="33" t="n"/>
      <c r="E198" s="32" t="n"/>
      <c r="F198" s="32" t="n"/>
      <c r="G198" s="32" t="n"/>
      <c r="H198" s="34" t="n"/>
      <c r="I198" s="31">
        <f>IF(OR(H198="",B198=""),"",IF(OR(C198="Closed",C198="Resolved"),"-",Setup!$G$2-H198))</f>
        <v/>
      </c>
      <c r="J198" s="32" t="n"/>
      <c r="K198" s="32" t="n"/>
    </row>
    <row r="199" ht="15" customHeight="1" s="36">
      <c r="A199" s="31">
        <f>IF(B199="","","IT-"&amp;Setup!$F$2&amp;TEXT(ROW()-1,"0000"))</f>
        <v/>
      </c>
      <c r="B199" s="32" t="n"/>
      <c r="C199" s="33" t="n"/>
      <c r="D199" s="33" t="n"/>
      <c r="E199" s="32" t="n"/>
      <c r="F199" s="32" t="n"/>
      <c r="G199" s="32" t="n"/>
      <c r="H199" s="34" t="n"/>
      <c r="I199" s="31">
        <f>IF(OR(H199="",B199=""),"",IF(OR(C199="Closed",C199="Resolved"),"-",Setup!$G$2-H199))</f>
        <v/>
      </c>
      <c r="J199" s="32" t="n"/>
      <c r="K199" s="32" t="n"/>
    </row>
    <row r="200" ht="15" customHeight="1" s="36">
      <c r="A200" s="31">
        <f>IF(B200="","","IT-"&amp;Setup!$F$2&amp;TEXT(ROW()-1,"0000"))</f>
        <v/>
      </c>
      <c r="B200" s="32" t="n"/>
      <c r="C200" s="33" t="n"/>
      <c r="D200" s="33" t="n"/>
      <c r="E200" s="32" t="n"/>
      <c r="F200" s="32" t="n"/>
      <c r="G200" s="32" t="n"/>
      <c r="H200" s="34" t="n"/>
      <c r="I200" s="31">
        <f>IF(OR(H200="",B200=""),"",IF(OR(C200="Closed",C200="Resolved"),"-",Setup!$G$2-H200))</f>
        <v/>
      </c>
      <c r="J200" s="32" t="n"/>
      <c r="K200" s="32" t="n"/>
    </row>
    <row r="201" ht="15" customHeight="1" s="36">
      <c r="A201" s="31">
        <f>IF(B201="","","IT-"&amp;Setup!$F$2&amp;TEXT(ROW()-1,"0000"))</f>
        <v/>
      </c>
      <c r="B201" s="32" t="n"/>
      <c r="C201" s="33" t="n"/>
      <c r="D201" s="33" t="n"/>
      <c r="E201" s="32" t="n"/>
      <c r="F201" s="32" t="n"/>
      <c r="G201" s="32" t="n"/>
      <c r="H201" s="34" t="n"/>
      <c r="I201" s="31">
        <f>IF(OR(H201="",B201=""),"",IF(OR(C201="Closed",C201="Resolved"),"-",Setup!$G$2-H201))</f>
        <v/>
      </c>
      <c r="J201" s="32" t="n"/>
      <c r="K201" s="32" t="n"/>
    </row>
    <row r="202" ht="15" customHeight="1" s="36">
      <c r="A202" s="31">
        <f>IF(B202="","","IT-"&amp;Setup!$F$2&amp;TEXT(ROW()-1,"0000"))</f>
        <v/>
      </c>
      <c r="B202" s="32" t="n"/>
      <c r="C202" s="33" t="n"/>
      <c r="D202" s="33" t="n"/>
      <c r="E202" s="32" t="n"/>
      <c r="F202" s="32" t="n"/>
      <c r="G202" s="32" t="n"/>
      <c r="H202" s="34" t="n"/>
      <c r="I202" s="31">
        <f>IF(OR(H202="",B202=""),"",IF(OR(C202="Closed",C202="Resolved"),"-",Setup!$G$2-H202))</f>
        <v/>
      </c>
      <c r="J202" s="32" t="n"/>
      <c r="K202" s="32" t="n"/>
    </row>
    <row r="203" ht="15" customHeight="1" s="36">
      <c r="A203" s="31">
        <f>IF(B203="","","IT-"&amp;Setup!$F$2&amp;TEXT(ROW()-1,"0000"))</f>
        <v/>
      </c>
      <c r="B203" s="32" t="n"/>
      <c r="C203" s="33" t="n"/>
      <c r="D203" s="33" t="n"/>
      <c r="E203" s="32" t="n"/>
      <c r="F203" s="32" t="n"/>
      <c r="G203" s="32" t="n"/>
      <c r="H203" s="34" t="n"/>
      <c r="I203" s="31">
        <f>IF(OR(H203="",B203=""),"",IF(OR(C203="Closed",C203="Resolved"),"-",Setup!$G$2-H203))</f>
        <v/>
      </c>
      <c r="J203" s="32" t="n"/>
      <c r="K203" s="32" t="n"/>
    </row>
    <row r="204" ht="15" customHeight="1" s="36">
      <c r="A204" s="31">
        <f>IF(B204="","","IT-"&amp;Setup!$F$2&amp;TEXT(ROW()-1,"0000"))</f>
        <v/>
      </c>
      <c r="B204" s="32" t="n"/>
      <c r="C204" s="33" t="n"/>
      <c r="D204" s="33" t="n"/>
      <c r="E204" s="32" t="n"/>
      <c r="F204" s="32" t="n"/>
      <c r="G204" s="32" t="n"/>
      <c r="H204" s="34" t="n"/>
      <c r="I204" s="31">
        <f>IF(OR(H204="",B204=""),"",IF(OR(C204="Closed",C204="Resolved"),"-",Setup!$G$2-H204))</f>
        <v/>
      </c>
      <c r="J204" s="32" t="n"/>
      <c r="K204" s="32" t="n"/>
    </row>
    <row r="205" ht="15" customHeight="1" s="36">
      <c r="A205" s="31">
        <f>IF(B205="","","IT-"&amp;Setup!$F$2&amp;TEXT(ROW()-1,"0000"))</f>
        <v/>
      </c>
      <c r="B205" s="32" t="n"/>
      <c r="C205" s="33" t="n"/>
      <c r="D205" s="33" t="n"/>
      <c r="E205" s="32" t="n"/>
      <c r="F205" s="32" t="n"/>
      <c r="G205" s="32" t="n"/>
      <c r="H205" s="34" t="n"/>
      <c r="I205" s="31">
        <f>IF(OR(H205="",B205=""),"",IF(OR(C205="Closed",C205="Resolved"),"-",Setup!$G$2-H205))</f>
        <v/>
      </c>
      <c r="J205" s="32" t="n"/>
      <c r="K205" s="32" t="n"/>
    </row>
    <row r="206" ht="15" customHeight="1" s="36">
      <c r="A206" s="31">
        <f>IF(B206="","","IT-"&amp;Setup!$F$2&amp;TEXT(ROW()-1,"0000"))</f>
        <v/>
      </c>
      <c r="B206" s="32" t="n"/>
      <c r="C206" s="33" t="n"/>
      <c r="D206" s="33" t="n"/>
      <c r="E206" s="32" t="n"/>
      <c r="F206" s="32" t="n"/>
      <c r="G206" s="32" t="n"/>
      <c r="H206" s="34" t="n"/>
      <c r="I206" s="31">
        <f>IF(OR(H206="",B206=""),"",IF(OR(C206="Closed",C206="Resolved"),"-",Setup!$G$2-H206))</f>
        <v/>
      </c>
      <c r="J206" s="32" t="n"/>
      <c r="K206" s="32" t="n"/>
    </row>
    <row r="207" ht="15" customHeight="1" s="36">
      <c r="A207" s="31">
        <f>IF(B207="","","IT-"&amp;Setup!$F$2&amp;TEXT(ROW()-1,"0000"))</f>
        <v/>
      </c>
      <c r="B207" s="32" t="n"/>
      <c r="C207" s="33" t="n"/>
      <c r="D207" s="33" t="n"/>
      <c r="E207" s="32" t="n"/>
      <c r="F207" s="32" t="n"/>
      <c r="G207" s="32" t="n"/>
      <c r="H207" s="34" t="n"/>
      <c r="I207" s="31">
        <f>IF(OR(H207="",B207=""),"",IF(OR(C207="Closed",C207="Resolved"),"-",Setup!$G$2-H207))</f>
        <v/>
      </c>
      <c r="J207" s="32" t="n"/>
      <c r="K207" s="32" t="n"/>
    </row>
    <row r="208" ht="15" customHeight="1" s="36">
      <c r="A208" s="31">
        <f>IF(B208="","","IT-"&amp;Setup!$F$2&amp;TEXT(ROW()-1,"0000"))</f>
        <v/>
      </c>
      <c r="B208" s="32" t="n"/>
      <c r="C208" s="33" t="n"/>
      <c r="D208" s="33" t="n"/>
      <c r="E208" s="32" t="n"/>
      <c r="F208" s="32" t="n"/>
      <c r="G208" s="32" t="n"/>
      <c r="H208" s="34" t="n"/>
      <c r="I208" s="31">
        <f>IF(OR(H208="",B208=""),"",IF(OR(C208="Closed",C208="Resolved"),"-",Setup!$G$2-H208))</f>
        <v/>
      </c>
      <c r="J208" s="32" t="n"/>
      <c r="K208" s="32" t="n"/>
    </row>
    <row r="209" ht="15" customHeight="1" s="36">
      <c r="A209" s="31">
        <f>IF(B209="","","IT-"&amp;Setup!$F$2&amp;TEXT(ROW()-1,"0000"))</f>
        <v/>
      </c>
      <c r="B209" s="32" t="n"/>
      <c r="C209" s="33" t="n"/>
      <c r="D209" s="33" t="n"/>
      <c r="E209" s="32" t="n"/>
      <c r="F209" s="32" t="n"/>
      <c r="G209" s="32" t="n"/>
      <c r="H209" s="34" t="n"/>
      <c r="I209" s="31">
        <f>IF(OR(H209="",B209=""),"",IF(OR(C209="Closed",C209="Resolved"),"-",Setup!$G$2-H209))</f>
        <v/>
      </c>
      <c r="J209" s="32" t="n"/>
      <c r="K209" s="32" t="n"/>
    </row>
    <row r="210" ht="15" customHeight="1" s="36">
      <c r="A210" s="31">
        <f>IF(B210="","","IT-"&amp;Setup!$F$2&amp;TEXT(ROW()-1,"0000"))</f>
        <v/>
      </c>
      <c r="B210" s="32" t="n"/>
      <c r="C210" s="33" t="n"/>
      <c r="D210" s="33" t="n"/>
      <c r="E210" s="32" t="n"/>
      <c r="F210" s="32" t="n"/>
      <c r="G210" s="32" t="n"/>
      <c r="H210" s="34" t="n"/>
      <c r="I210" s="31">
        <f>IF(OR(H210="",B210=""),"",IF(OR(C210="Closed",C210="Resolved"),"-",Setup!$G$2-H210))</f>
        <v/>
      </c>
      <c r="J210" s="32" t="n"/>
      <c r="K210" s="32" t="n"/>
    </row>
    <row r="211" ht="15" customHeight="1" s="36">
      <c r="A211" s="31">
        <f>IF(B211="","","IT-"&amp;Setup!$F$2&amp;TEXT(ROW()-1,"0000"))</f>
        <v/>
      </c>
      <c r="B211" s="32" t="n"/>
      <c r="C211" s="33" t="n"/>
      <c r="D211" s="33" t="n"/>
      <c r="E211" s="32" t="n"/>
      <c r="F211" s="32" t="n"/>
      <c r="G211" s="32" t="n"/>
      <c r="H211" s="34" t="n"/>
      <c r="I211" s="31">
        <f>IF(OR(H211="",B211=""),"",IF(OR(C211="Closed",C211="Resolved"),"-",Setup!$G$2-H211))</f>
        <v/>
      </c>
      <c r="J211" s="32" t="n"/>
      <c r="K211" s="32" t="n"/>
    </row>
    <row r="212" ht="15" customHeight="1" s="36">
      <c r="A212" s="31">
        <f>IF(B212="","","IT-"&amp;Setup!$F$2&amp;TEXT(ROW()-1,"0000"))</f>
        <v/>
      </c>
      <c r="B212" s="32" t="n"/>
      <c r="C212" s="33" t="n"/>
      <c r="D212" s="33" t="n"/>
      <c r="E212" s="32" t="n"/>
      <c r="F212" s="32" t="n"/>
      <c r="G212" s="32" t="n"/>
      <c r="H212" s="34" t="n"/>
      <c r="I212" s="31">
        <f>IF(OR(H212="",B212=""),"",IF(OR(C212="Closed",C212="Resolved"),"-",Setup!$G$2-H212))</f>
        <v/>
      </c>
      <c r="J212" s="32" t="n"/>
      <c r="K212" s="32" t="n"/>
    </row>
    <row r="213" ht="15" customHeight="1" s="36">
      <c r="A213" s="31">
        <f>IF(B213="","","IT-"&amp;Setup!$F$2&amp;TEXT(ROW()-1,"0000"))</f>
        <v/>
      </c>
      <c r="B213" s="32" t="n"/>
      <c r="C213" s="33" t="n"/>
      <c r="D213" s="33" t="n"/>
      <c r="E213" s="32" t="n"/>
      <c r="F213" s="32" t="n"/>
      <c r="G213" s="32" t="n"/>
      <c r="H213" s="34" t="n"/>
      <c r="I213" s="31">
        <f>IF(OR(H213="",B213=""),"",IF(OR(C213="Closed",C213="Resolved"),"-",Setup!$G$2-H213))</f>
        <v/>
      </c>
      <c r="J213" s="32" t="n"/>
      <c r="K213" s="32" t="n"/>
    </row>
    <row r="214" ht="15" customHeight="1" s="36">
      <c r="A214" s="31">
        <f>IF(B214="","","IT-"&amp;Setup!$F$2&amp;TEXT(ROW()-1,"0000"))</f>
        <v/>
      </c>
      <c r="B214" s="32" t="n"/>
      <c r="C214" s="33" t="n"/>
      <c r="D214" s="33" t="n"/>
      <c r="E214" s="32" t="n"/>
      <c r="F214" s="32" t="n"/>
      <c r="G214" s="32" t="n"/>
      <c r="H214" s="34" t="n"/>
      <c r="I214" s="31">
        <f>IF(OR(H214="",B214=""),"",IF(OR(C214="Closed",C214="Resolved"),"-",Setup!$G$2-H214))</f>
        <v/>
      </c>
      <c r="J214" s="32" t="n"/>
      <c r="K214" s="32" t="n"/>
    </row>
    <row r="215" ht="15" customHeight="1" s="36">
      <c r="A215" s="31">
        <f>IF(B215="","","IT-"&amp;Setup!$F$2&amp;TEXT(ROW()-1,"0000"))</f>
        <v/>
      </c>
      <c r="B215" s="32" t="n"/>
      <c r="C215" s="33" t="n"/>
      <c r="D215" s="33" t="n"/>
      <c r="E215" s="32" t="n"/>
      <c r="F215" s="32" t="n"/>
      <c r="G215" s="32" t="n"/>
      <c r="H215" s="34" t="n"/>
      <c r="I215" s="31">
        <f>IF(OR(H215="",B215=""),"",IF(OR(C215="Closed",C215="Resolved"),"-",Setup!$G$2-H215))</f>
        <v/>
      </c>
      <c r="J215" s="32" t="n"/>
      <c r="K215" s="32" t="n"/>
    </row>
    <row r="216" ht="15" customHeight="1" s="36">
      <c r="A216" s="31">
        <f>IF(B216="","","IT-"&amp;Setup!$F$2&amp;TEXT(ROW()-1,"0000"))</f>
        <v/>
      </c>
      <c r="B216" s="32" t="n"/>
      <c r="C216" s="33" t="n"/>
      <c r="D216" s="33" t="n"/>
      <c r="E216" s="32" t="n"/>
      <c r="F216" s="32" t="n"/>
      <c r="G216" s="32" t="n"/>
      <c r="H216" s="34" t="n"/>
      <c r="I216" s="31">
        <f>IF(OR(H216="",B216=""),"",IF(OR(C216="Closed",C216="Resolved"),"-",Setup!$G$2-H216))</f>
        <v/>
      </c>
      <c r="J216" s="32" t="n"/>
      <c r="K216" s="32" t="n"/>
    </row>
    <row r="217" ht="15" customHeight="1" s="36">
      <c r="A217" s="31">
        <f>IF(B217="","","IT-"&amp;Setup!$F$2&amp;TEXT(ROW()-1,"0000"))</f>
        <v/>
      </c>
      <c r="B217" s="32" t="n"/>
      <c r="C217" s="33" t="n"/>
      <c r="D217" s="33" t="n"/>
      <c r="E217" s="32" t="n"/>
      <c r="F217" s="32" t="n"/>
      <c r="G217" s="32" t="n"/>
      <c r="H217" s="34" t="n"/>
      <c r="I217" s="31">
        <f>IF(OR(H217="",B217=""),"",IF(OR(C217="Closed",C217="Resolved"),"-",Setup!$G$2-H217))</f>
        <v/>
      </c>
      <c r="J217" s="32" t="n"/>
      <c r="K217" s="32" t="n"/>
    </row>
    <row r="218" ht="15" customHeight="1" s="36">
      <c r="A218" s="31">
        <f>IF(B218="","","IT-"&amp;Setup!$F$2&amp;TEXT(ROW()-1,"0000"))</f>
        <v/>
      </c>
      <c r="B218" s="32" t="n"/>
      <c r="C218" s="33" t="n"/>
      <c r="D218" s="33" t="n"/>
      <c r="E218" s="32" t="n"/>
      <c r="F218" s="32" t="n"/>
      <c r="G218" s="32" t="n"/>
      <c r="H218" s="34" t="n"/>
      <c r="I218" s="31">
        <f>IF(OR(H218="",B218=""),"",IF(OR(C218="Closed",C218="Resolved"),"-",Setup!$G$2-H218))</f>
        <v/>
      </c>
      <c r="J218" s="32" t="n"/>
      <c r="K218" s="32" t="n"/>
    </row>
    <row r="219" ht="15" customHeight="1" s="36">
      <c r="A219" s="31">
        <f>IF(B219="","","IT-"&amp;Setup!$F$2&amp;TEXT(ROW()-1,"0000"))</f>
        <v/>
      </c>
      <c r="B219" s="32" t="n"/>
      <c r="C219" s="33" t="n"/>
      <c r="D219" s="33" t="n"/>
      <c r="E219" s="32" t="n"/>
      <c r="F219" s="32" t="n"/>
      <c r="G219" s="32" t="n"/>
      <c r="H219" s="34" t="n"/>
      <c r="I219" s="31">
        <f>IF(OR(H219="",B219=""),"",IF(OR(C219="Closed",C219="Resolved"),"-",Setup!$G$2-H219))</f>
        <v/>
      </c>
      <c r="J219" s="32" t="n"/>
      <c r="K219" s="32" t="n"/>
    </row>
    <row r="220" ht="15" customHeight="1" s="36">
      <c r="A220" s="31">
        <f>IF(B220="","","IT-"&amp;Setup!$F$2&amp;TEXT(ROW()-1,"0000"))</f>
        <v/>
      </c>
      <c r="B220" s="32" t="n"/>
      <c r="C220" s="33" t="n"/>
      <c r="D220" s="33" t="n"/>
      <c r="E220" s="32" t="n"/>
      <c r="F220" s="32" t="n"/>
      <c r="G220" s="32" t="n"/>
      <c r="H220" s="34" t="n"/>
      <c r="I220" s="31">
        <f>IF(OR(H220="",B220=""),"",IF(OR(C220="Closed",C220="Resolved"),"-",Setup!$G$2-H220))</f>
        <v/>
      </c>
      <c r="J220" s="32" t="n"/>
      <c r="K220" s="32" t="n"/>
    </row>
    <row r="221" ht="15" customHeight="1" s="36">
      <c r="A221" s="31">
        <f>IF(B221="","","IT-"&amp;Setup!$F$2&amp;TEXT(ROW()-1,"0000"))</f>
        <v/>
      </c>
      <c r="B221" s="32" t="n"/>
      <c r="C221" s="33" t="n"/>
      <c r="D221" s="33" t="n"/>
      <c r="E221" s="32" t="n"/>
      <c r="F221" s="32" t="n"/>
      <c r="G221" s="32" t="n"/>
      <c r="H221" s="34" t="n"/>
      <c r="I221" s="31">
        <f>IF(OR(H221="",B221=""),"",IF(OR(C221="Closed",C221="Resolved"),"-",Setup!$G$2-H221))</f>
        <v/>
      </c>
      <c r="J221" s="32" t="n"/>
      <c r="K221" s="32" t="n"/>
    </row>
    <row r="222" ht="15" customHeight="1" s="36">
      <c r="A222" s="31">
        <f>IF(B222="","","IT-"&amp;Setup!$F$2&amp;TEXT(ROW()-1,"0000"))</f>
        <v/>
      </c>
      <c r="B222" s="32" t="n"/>
      <c r="C222" s="33" t="n"/>
      <c r="D222" s="33" t="n"/>
      <c r="E222" s="32" t="n"/>
      <c r="F222" s="32" t="n"/>
      <c r="G222" s="32" t="n"/>
      <c r="H222" s="34" t="n"/>
      <c r="I222" s="31">
        <f>IF(OR(H222="",B222=""),"",IF(OR(C222="Closed",C222="Resolved"),"-",Setup!$G$2-H222))</f>
        <v/>
      </c>
      <c r="J222" s="32" t="n"/>
      <c r="K222" s="32" t="n"/>
    </row>
    <row r="223" ht="15" customHeight="1" s="36">
      <c r="A223" s="31">
        <f>IF(B223="","","IT-"&amp;Setup!$F$2&amp;TEXT(ROW()-1,"0000"))</f>
        <v/>
      </c>
      <c r="B223" s="32" t="n"/>
      <c r="C223" s="33" t="n"/>
      <c r="D223" s="33" t="n"/>
      <c r="E223" s="32" t="n"/>
      <c r="F223" s="32" t="n"/>
      <c r="G223" s="32" t="n"/>
      <c r="H223" s="34" t="n"/>
      <c r="I223" s="31">
        <f>IF(OR(H223="",B223=""),"",IF(OR(C223="Closed",C223="Resolved"),"-",Setup!$G$2-H223))</f>
        <v/>
      </c>
      <c r="J223" s="32" t="n"/>
      <c r="K223" s="32" t="n"/>
    </row>
    <row r="224" ht="15" customHeight="1" s="36">
      <c r="A224" s="31">
        <f>IF(B224="","","IT-"&amp;Setup!$F$2&amp;TEXT(ROW()-1,"0000"))</f>
        <v/>
      </c>
      <c r="B224" s="32" t="n"/>
      <c r="C224" s="33" t="n"/>
      <c r="D224" s="33" t="n"/>
      <c r="E224" s="32" t="n"/>
      <c r="F224" s="32" t="n"/>
      <c r="G224" s="32" t="n"/>
      <c r="H224" s="34" t="n"/>
      <c r="I224" s="31">
        <f>IF(OR(H224="",B224=""),"",IF(OR(C224="Closed",C224="Resolved"),"-",Setup!$G$2-H224))</f>
        <v/>
      </c>
      <c r="J224" s="32" t="n"/>
      <c r="K224" s="32" t="n"/>
    </row>
    <row r="225" ht="15" customHeight="1" s="36">
      <c r="A225" s="31">
        <f>IF(B225="","","IT-"&amp;Setup!$F$2&amp;TEXT(ROW()-1,"0000"))</f>
        <v/>
      </c>
      <c r="B225" s="32" t="n"/>
      <c r="C225" s="33" t="n"/>
      <c r="D225" s="33" t="n"/>
      <c r="E225" s="32" t="n"/>
      <c r="F225" s="32" t="n"/>
      <c r="G225" s="32" t="n"/>
      <c r="H225" s="34" t="n"/>
      <c r="I225" s="31">
        <f>IF(OR(H225="",B225=""),"",IF(OR(C225="Closed",C225="Resolved"),"-",Setup!$G$2-H225))</f>
        <v/>
      </c>
      <c r="J225" s="32" t="n"/>
      <c r="K225" s="32" t="n"/>
    </row>
    <row r="226" ht="15" customHeight="1" s="36">
      <c r="A226" s="31">
        <f>IF(B226="","","IT-"&amp;Setup!$F$2&amp;TEXT(ROW()-1,"0000"))</f>
        <v/>
      </c>
      <c r="B226" s="32" t="n"/>
      <c r="C226" s="33" t="n"/>
      <c r="D226" s="33" t="n"/>
      <c r="E226" s="32" t="n"/>
      <c r="F226" s="32" t="n"/>
      <c r="G226" s="32" t="n"/>
      <c r="H226" s="34" t="n"/>
      <c r="I226" s="31">
        <f>IF(OR(H226="",B226=""),"",IF(OR(C226="Closed",C226="Resolved"),"-",Setup!$G$2-H226))</f>
        <v/>
      </c>
      <c r="J226" s="32" t="n"/>
      <c r="K226" s="32" t="n"/>
    </row>
    <row r="227" ht="15" customHeight="1" s="36">
      <c r="A227" s="31">
        <f>IF(B227="","","IT-"&amp;Setup!$F$2&amp;TEXT(ROW()-1,"0000"))</f>
        <v/>
      </c>
      <c r="B227" s="32" t="n"/>
      <c r="C227" s="33" t="n"/>
      <c r="D227" s="33" t="n"/>
      <c r="E227" s="32" t="n"/>
      <c r="F227" s="32" t="n"/>
      <c r="G227" s="32" t="n"/>
      <c r="H227" s="34" t="n"/>
      <c r="I227" s="31">
        <f>IF(OR(H227="",B227=""),"",IF(OR(C227="Closed",C227="Resolved"),"-",Setup!$G$2-H227))</f>
        <v/>
      </c>
      <c r="J227" s="32" t="n"/>
      <c r="K227" s="32" t="n"/>
    </row>
    <row r="228" ht="15" customHeight="1" s="36">
      <c r="A228" s="31">
        <f>IF(B228="","","IT-"&amp;Setup!$F$2&amp;TEXT(ROW()-1,"0000"))</f>
        <v/>
      </c>
      <c r="B228" s="32" t="n"/>
      <c r="C228" s="33" t="n"/>
      <c r="D228" s="33" t="n"/>
      <c r="E228" s="32" t="n"/>
      <c r="F228" s="32" t="n"/>
      <c r="G228" s="32" t="n"/>
      <c r="H228" s="34" t="n"/>
      <c r="I228" s="31">
        <f>IF(OR(H228="",B228=""),"",IF(OR(C228="Closed",C228="Resolved"),"-",Setup!$G$2-H228))</f>
        <v/>
      </c>
      <c r="J228" s="32" t="n"/>
      <c r="K228" s="32" t="n"/>
    </row>
    <row r="229" ht="15" customHeight="1" s="36">
      <c r="A229" s="31">
        <f>IF(B229="","","IT-"&amp;Setup!$F$2&amp;TEXT(ROW()-1,"0000"))</f>
        <v/>
      </c>
      <c r="B229" s="32" t="n"/>
      <c r="C229" s="33" t="n"/>
      <c r="D229" s="33" t="n"/>
      <c r="E229" s="32" t="n"/>
      <c r="F229" s="32" t="n"/>
      <c r="G229" s="32" t="n"/>
      <c r="H229" s="34" t="n"/>
      <c r="I229" s="31">
        <f>IF(OR(H229="",B229=""),"",IF(OR(C229="Closed",C229="Resolved"),"-",Setup!$G$2-H229))</f>
        <v/>
      </c>
      <c r="J229" s="32" t="n"/>
      <c r="K229" s="32" t="n"/>
    </row>
    <row r="230" ht="15" customHeight="1" s="36">
      <c r="A230" s="31">
        <f>IF(B230="","","IT-"&amp;Setup!$F$2&amp;TEXT(ROW()-1,"0000"))</f>
        <v/>
      </c>
      <c r="B230" s="32" t="n"/>
      <c r="C230" s="33" t="n"/>
      <c r="D230" s="33" t="n"/>
      <c r="E230" s="32" t="n"/>
      <c r="F230" s="32" t="n"/>
      <c r="G230" s="32" t="n"/>
      <c r="H230" s="34" t="n"/>
      <c r="I230" s="31">
        <f>IF(OR(H230="",B230=""),"",IF(OR(C230="Closed",C230="Resolved"),"-",Setup!$G$2-H230))</f>
        <v/>
      </c>
      <c r="J230" s="32" t="n"/>
      <c r="K230" s="32" t="n"/>
    </row>
    <row r="231" ht="15" customHeight="1" s="36">
      <c r="A231" s="31">
        <f>IF(B231="","","IT-"&amp;Setup!$F$2&amp;TEXT(ROW()-1,"0000"))</f>
        <v/>
      </c>
      <c r="B231" s="32" t="n"/>
      <c r="C231" s="33" t="n"/>
      <c r="D231" s="33" t="n"/>
      <c r="E231" s="32" t="n"/>
      <c r="F231" s="32" t="n"/>
      <c r="G231" s="32" t="n"/>
      <c r="H231" s="34" t="n"/>
      <c r="I231" s="31">
        <f>IF(OR(H231="",B231=""),"",IF(OR(C231="Closed",C231="Resolved"),"-",Setup!$G$2-H231))</f>
        <v/>
      </c>
      <c r="J231" s="32" t="n"/>
      <c r="K231" s="32" t="n"/>
    </row>
    <row r="232" ht="15" customHeight="1" s="36">
      <c r="A232" s="31">
        <f>IF(B232="","","IT-"&amp;Setup!$F$2&amp;TEXT(ROW()-1,"0000"))</f>
        <v/>
      </c>
      <c r="B232" s="32" t="n"/>
      <c r="C232" s="33" t="n"/>
      <c r="D232" s="33" t="n"/>
      <c r="E232" s="32" t="n"/>
      <c r="F232" s="32" t="n"/>
      <c r="G232" s="32" t="n"/>
      <c r="H232" s="34" t="n"/>
      <c r="I232" s="31">
        <f>IF(OR(H232="",B232=""),"",IF(OR(C232="Closed",C232="Resolved"),"-",Setup!$G$2-H232))</f>
        <v/>
      </c>
      <c r="J232" s="32" t="n"/>
      <c r="K232" s="32" t="n"/>
    </row>
    <row r="233" ht="15" customHeight="1" s="36">
      <c r="A233" s="31">
        <f>IF(B233="","","IT-"&amp;Setup!$F$2&amp;TEXT(ROW()-1,"0000"))</f>
        <v/>
      </c>
      <c r="B233" s="32" t="n"/>
      <c r="C233" s="33" t="n"/>
      <c r="D233" s="33" t="n"/>
      <c r="E233" s="32" t="n"/>
      <c r="F233" s="32" t="n"/>
      <c r="G233" s="32" t="n"/>
      <c r="H233" s="34" t="n"/>
      <c r="I233" s="31">
        <f>IF(OR(H233="",B233=""),"",IF(OR(C233="Closed",C233="Resolved"),"-",Setup!$G$2-H233))</f>
        <v/>
      </c>
      <c r="J233" s="32" t="n"/>
      <c r="K233" s="32" t="n"/>
    </row>
    <row r="234" ht="15" customHeight="1" s="36">
      <c r="A234" s="31">
        <f>IF(B234="","","IT-"&amp;Setup!$F$2&amp;TEXT(ROW()-1,"0000"))</f>
        <v/>
      </c>
      <c r="B234" s="32" t="n"/>
      <c r="C234" s="33" t="n"/>
      <c r="D234" s="33" t="n"/>
      <c r="E234" s="32" t="n"/>
      <c r="F234" s="32" t="n"/>
      <c r="G234" s="32" t="n"/>
      <c r="H234" s="34" t="n"/>
      <c r="I234" s="31">
        <f>IF(OR(H234="",B234=""),"",IF(OR(C234="Closed",C234="Resolved"),"-",Setup!$G$2-H234))</f>
        <v/>
      </c>
      <c r="J234" s="32" t="n"/>
      <c r="K234" s="32" t="n"/>
    </row>
    <row r="235" ht="15" customHeight="1" s="36">
      <c r="A235" s="31">
        <f>IF(B235="","","IT-"&amp;Setup!$F$2&amp;TEXT(ROW()-1,"0000"))</f>
        <v/>
      </c>
      <c r="B235" s="32" t="n"/>
      <c r="C235" s="33" t="n"/>
      <c r="D235" s="33" t="n"/>
      <c r="E235" s="32" t="n"/>
      <c r="F235" s="32" t="n"/>
      <c r="G235" s="32" t="n"/>
      <c r="H235" s="34" t="n"/>
      <c r="I235" s="31">
        <f>IF(OR(H235="",B235=""),"",IF(OR(C235="Closed",C235="Resolved"),"-",Setup!$G$2-H235))</f>
        <v/>
      </c>
      <c r="J235" s="32" t="n"/>
      <c r="K235" s="32" t="n"/>
    </row>
    <row r="236" ht="15" customHeight="1" s="36">
      <c r="A236" s="31">
        <f>IF(B236="","","IT-"&amp;Setup!$F$2&amp;TEXT(ROW()-1,"0000"))</f>
        <v/>
      </c>
      <c r="B236" s="32" t="n"/>
      <c r="C236" s="33" t="n"/>
      <c r="D236" s="33" t="n"/>
      <c r="E236" s="32" t="n"/>
      <c r="F236" s="32" t="n"/>
      <c r="G236" s="32" t="n"/>
      <c r="H236" s="34" t="n"/>
      <c r="I236" s="31">
        <f>IF(OR(H236="",B236=""),"",IF(OR(C236="Closed",C236="Resolved"),"-",Setup!$G$2-H236))</f>
        <v/>
      </c>
      <c r="J236" s="32" t="n"/>
      <c r="K236" s="32" t="n"/>
    </row>
    <row r="237" ht="15" customHeight="1" s="36">
      <c r="A237" s="31">
        <f>IF(B237="","","IT-"&amp;Setup!$F$2&amp;TEXT(ROW()-1,"0000"))</f>
        <v/>
      </c>
      <c r="B237" s="32" t="n"/>
      <c r="C237" s="33" t="n"/>
      <c r="D237" s="33" t="n"/>
      <c r="E237" s="32" t="n"/>
      <c r="F237" s="32" t="n"/>
      <c r="G237" s="32" t="n"/>
      <c r="H237" s="34" t="n"/>
      <c r="I237" s="31">
        <f>IF(OR(H237="",B237=""),"",IF(OR(C237="Closed",C237="Resolved"),"-",Setup!$G$2-H237))</f>
        <v/>
      </c>
      <c r="J237" s="32" t="n"/>
      <c r="K237" s="32" t="n"/>
    </row>
    <row r="238" ht="15" customHeight="1" s="36">
      <c r="A238" s="31">
        <f>IF(B238="","","IT-"&amp;Setup!$F$2&amp;TEXT(ROW()-1,"0000"))</f>
        <v/>
      </c>
      <c r="B238" s="32" t="n"/>
      <c r="C238" s="33" t="n"/>
      <c r="D238" s="33" t="n"/>
      <c r="E238" s="32" t="n"/>
      <c r="F238" s="32" t="n"/>
      <c r="G238" s="32" t="n"/>
      <c r="H238" s="34" t="n"/>
      <c r="I238" s="31">
        <f>IF(OR(H238="",B238=""),"",IF(OR(C238="Closed",C238="Resolved"),"-",Setup!$G$2-H238))</f>
        <v/>
      </c>
      <c r="J238" s="32" t="n"/>
      <c r="K238" s="32" t="n"/>
    </row>
    <row r="239" ht="15" customHeight="1" s="36">
      <c r="A239" s="31">
        <f>IF(B239="","","IT-"&amp;Setup!$F$2&amp;TEXT(ROW()-1,"0000"))</f>
        <v/>
      </c>
      <c r="B239" s="32" t="n"/>
      <c r="C239" s="33" t="n"/>
      <c r="D239" s="33" t="n"/>
      <c r="E239" s="32" t="n"/>
      <c r="F239" s="32" t="n"/>
      <c r="G239" s="32" t="n"/>
      <c r="H239" s="34" t="n"/>
      <c r="I239" s="31">
        <f>IF(OR(H239="",B239=""),"",IF(OR(C239="Closed",C239="Resolved"),"-",Setup!$G$2-H239))</f>
        <v/>
      </c>
      <c r="J239" s="32" t="n"/>
      <c r="K239" s="32" t="n"/>
    </row>
    <row r="240" ht="15" customHeight="1" s="36">
      <c r="A240" s="31">
        <f>IF(B240="","","IT-"&amp;Setup!$F$2&amp;TEXT(ROW()-1,"0000"))</f>
        <v/>
      </c>
      <c r="B240" s="32" t="n"/>
      <c r="C240" s="33" t="n"/>
      <c r="D240" s="33" t="n"/>
      <c r="E240" s="32" t="n"/>
      <c r="F240" s="32" t="n"/>
      <c r="G240" s="32" t="n"/>
      <c r="H240" s="34" t="n"/>
      <c r="I240" s="31">
        <f>IF(OR(H240="",B240=""),"",IF(OR(C240="Closed",C240="Resolved"),"-",Setup!$G$2-H240))</f>
        <v/>
      </c>
      <c r="J240" s="32" t="n"/>
      <c r="K240" s="32" t="n"/>
    </row>
    <row r="241" ht="15" customHeight="1" s="36">
      <c r="A241" s="31">
        <f>IF(B241="","","IT-"&amp;Setup!$F$2&amp;TEXT(ROW()-1,"0000"))</f>
        <v/>
      </c>
      <c r="B241" s="32" t="n"/>
      <c r="C241" s="33" t="n"/>
      <c r="D241" s="33" t="n"/>
      <c r="E241" s="32" t="n"/>
      <c r="F241" s="32" t="n"/>
      <c r="G241" s="32" t="n"/>
      <c r="H241" s="34" t="n"/>
      <c r="I241" s="31">
        <f>IF(OR(H241="",B241=""),"",IF(OR(C241="Closed",C241="Resolved"),"-",Setup!$G$2-H241))</f>
        <v/>
      </c>
      <c r="J241" s="32" t="n"/>
      <c r="K241" s="32" t="n"/>
    </row>
    <row r="242" ht="15" customHeight="1" s="36">
      <c r="A242" s="31">
        <f>IF(B242="","","IT-"&amp;Setup!$F$2&amp;TEXT(ROW()-1,"0000"))</f>
        <v/>
      </c>
      <c r="B242" s="32" t="n"/>
      <c r="C242" s="33" t="n"/>
      <c r="D242" s="33" t="n"/>
      <c r="E242" s="32" t="n"/>
      <c r="F242" s="32" t="n"/>
      <c r="G242" s="32" t="n"/>
      <c r="H242" s="34" t="n"/>
      <c r="I242" s="31">
        <f>IF(OR(H242="",B242=""),"",IF(OR(C242="Closed",C242="Resolved"),"-",Setup!$G$2-H242))</f>
        <v/>
      </c>
      <c r="J242" s="32" t="n"/>
      <c r="K242" s="32" t="n"/>
    </row>
    <row r="243" ht="15" customHeight="1" s="36">
      <c r="A243" s="31">
        <f>IF(B243="","","IT-"&amp;Setup!$F$2&amp;TEXT(ROW()-1,"0000"))</f>
        <v/>
      </c>
      <c r="B243" s="32" t="n"/>
      <c r="C243" s="33" t="n"/>
      <c r="D243" s="33" t="n"/>
      <c r="E243" s="32" t="n"/>
      <c r="F243" s="32" t="n"/>
      <c r="G243" s="32" t="n"/>
      <c r="H243" s="34" t="n"/>
      <c r="I243" s="31">
        <f>IF(OR(H243="",B243=""),"",IF(OR(C243="Closed",C243="Resolved"),"-",Setup!$G$2-H243))</f>
        <v/>
      </c>
      <c r="J243" s="32" t="n"/>
      <c r="K243" s="32" t="n"/>
    </row>
    <row r="244" ht="15" customHeight="1" s="36">
      <c r="A244" s="31">
        <f>IF(B244="","","IT-"&amp;Setup!$F$2&amp;TEXT(ROW()-1,"0000"))</f>
        <v/>
      </c>
      <c r="B244" s="32" t="n"/>
      <c r="C244" s="33" t="n"/>
      <c r="D244" s="33" t="n"/>
      <c r="E244" s="32" t="n"/>
      <c r="F244" s="32" t="n"/>
      <c r="G244" s="32" t="n"/>
      <c r="H244" s="34" t="n"/>
      <c r="I244" s="31">
        <f>IF(OR(H244="",B244=""),"",IF(OR(C244="Closed",C244="Resolved"),"-",Setup!$G$2-H244))</f>
        <v/>
      </c>
      <c r="J244" s="32" t="n"/>
      <c r="K244" s="32" t="n"/>
    </row>
    <row r="245" ht="15" customHeight="1" s="36">
      <c r="A245" s="31">
        <f>IF(B245="","","IT-"&amp;Setup!$F$2&amp;TEXT(ROW()-1,"0000"))</f>
        <v/>
      </c>
      <c r="B245" s="32" t="n"/>
      <c r="C245" s="33" t="n"/>
      <c r="D245" s="33" t="n"/>
      <c r="E245" s="32" t="n"/>
      <c r="F245" s="32" t="n"/>
      <c r="G245" s="32" t="n"/>
      <c r="H245" s="34" t="n"/>
      <c r="I245" s="31">
        <f>IF(OR(H245="",B245=""),"",IF(OR(C245="Closed",C245="Resolved"),"-",Setup!$G$2-H245))</f>
        <v/>
      </c>
      <c r="J245" s="32" t="n"/>
      <c r="K245" s="32" t="n"/>
    </row>
    <row r="246" ht="15" customHeight="1" s="36">
      <c r="A246" s="31">
        <f>IF(B246="","","IT-"&amp;Setup!$F$2&amp;TEXT(ROW()-1,"0000"))</f>
        <v/>
      </c>
      <c r="B246" s="32" t="n"/>
      <c r="C246" s="33" t="n"/>
      <c r="D246" s="33" t="n"/>
      <c r="E246" s="32" t="n"/>
      <c r="F246" s="32" t="n"/>
      <c r="G246" s="32" t="n"/>
      <c r="H246" s="34" t="n"/>
      <c r="I246" s="31">
        <f>IF(OR(H246="",B246=""),"",IF(OR(C246="Closed",C246="Resolved"),"-",Setup!$G$2-H246))</f>
        <v/>
      </c>
      <c r="J246" s="32" t="n"/>
      <c r="K246" s="32" t="n"/>
    </row>
    <row r="247" ht="15" customHeight="1" s="36">
      <c r="A247" s="31">
        <f>IF(B247="","","IT-"&amp;Setup!$F$2&amp;TEXT(ROW()-1,"0000"))</f>
        <v/>
      </c>
      <c r="B247" s="32" t="n"/>
      <c r="C247" s="33" t="n"/>
      <c r="D247" s="33" t="n"/>
      <c r="E247" s="32" t="n"/>
      <c r="F247" s="32" t="n"/>
      <c r="G247" s="32" t="n"/>
      <c r="H247" s="34" t="n"/>
      <c r="I247" s="31">
        <f>IF(OR(H247="",B247=""),"",IF(OR(C247="Closed",C247="Resolved"),"-",Setup!$G$2-H247))</f>
        <v/>
      </c>
      <c r="J247" s="32" t="n"/>
      <c r="K247" s="32" t="n"/>
    </row>
    <row r="248" ht="15" customHeight="1" s="36">
      <c r="A248" s="31">
        <f>IF(B248="","","IT-"&amp;Setup!$F$2&amp;TEXT(ROW()-1,"0000"))</f>
        <v/>
      </c>
      <c r="B248" s="32" t="n"/>
      <c r="C248" s="33" t="n"/>
      <c r="D248" s="33" t="n"/>
      <c r="E248" s="32" t="n"/>
      <c r="F248" s="32" t="n"/>
      <c r="G248" s="32" t="n"/>
      <c r="H248" s="34" t="n"/>
      <c r="I248" s="31">
        <f>IF(OR(H248="",B248=""),"",IF(OR(C248="Closed",C248="Resolved"),"-",Setup!$G$2-H248))</f>
        <v/>
      </c>
      <c r="J248" s="32" t="n"/>
      <c r="K248" s="32" t="n"/>
    </row>
    <row r="249" ht="15" customHeight="1" s="36">
      <c r="A249" s="31">
        <f>IF(B249="","","IT-"&amp;Setup!$F$2&amp;TEXT(ROW()-1,"0000"))</f>
        <v/>
      </c>
      <c r="B249" s="32" t="n"/>
      <c r="C249" s="33" t="n"/>
      <c r="D249" s="33" t="n"/>
      <c r="E249" s="32" t="n"/>
      <c r="F249" s="32" t="n"/>
      <c r="G249" s="32" t="n"/>
      <c r="H249" s="34" t="n"/>
      <c r="I249" s="31">
        <f>IF(OR(H249="",B249=""),"",IF(OR(C249="Closed",C249="Resolved"),"-",Setup!$G$2-H249))</f>
        <v/>
      </c>
      <c r="J249" s="32" t="n"/>
      <c r="K249" s="32" t="n"/>
    </row>
    <row r="250" ht="15" customHeight="1" s="36">
      <c r="A250" s="31">
        <f>IF(B250="","","IT-"&amp;Setup!$F$2&amp;TEXT(ROW()-1,"0000"))</f>
        <v/>
      </c>
      <c r="B250" s="32" t="n"/>
      <c r="C250" s="33" t="n"/>
      <c r="D250" s="33" t="n"/>
      <c r="E250" s="32" t="n"/>
      <c r="F250" s="32" t="n"/>
      <c r="G250" s="32" t="n"/>
      <c r="H250" s="34" t="n"/>
      <c r="I250" s="31">
        <f>IF(OR(H250="",B250=""),"",IF(OR(C250="Closed",C250="Resolved"),"-",Setup!$G$2-H250))</f>
        <v/>
      </c>
      <c r="J250" s="32" t="n"/>
      <c r="K250" s="32" t="n"/>
    </row>
    <row r="251" ht="15" customHeight="1" s="36">
      <c r="A251" s="31">
        <f>IF(B251="","","IT-"&amp;Setup!$F$2&amp;TEXT(ROW()-1,"0000"))</f>
        <v/>
      </c>
      <c r="B251" s="32" t="n"/>
      <c r="C251" s="33" t="n"/>
      <c r="D251" s="33" t="n"/>
      <c r="E251" s="32" t="n"/>
      <c r="F251" s="32" t="n"/>
      <c r="G251" s="32" t="n"/>
      <c r="H251" s="34" t="n"/>
      <c r="I251" s="31">
        <f>IF(OR(H251="",B251=""),"",IF(OR(C251="Closed",C251="Resolved"),"-",Setup!$G$2-H251))</f>
        <v/>
      </c>
      <c r="J251" s="32" t="n"/>
      <c r="K251" s="32" t="n"/>
    </row>
    <row r="252" ht="15" customHeight="1" s="36">
      <c r="A252" s="31">
        <f>IF(B252="","","IT-"&amp;Setup!$F$2&amp;TEXT(ROW()-1,"0000"))</f>
        <v/>
      </c>
      <c r="B252" s="32" t="n"/>
      <c r="C252" s="33" t="n"/>
      <c r="D252" s="33" t="n"/>
      <c r="E252" s="32" t="n"/>
      <c r="F252" s="32" t="n"/>
      <c r="G252" s="32" t="n"/>
      <c r="H252" s="34" t="n"/>
      <c r="I252" s="31">
        <f>IF(OR(H252="",B252=""),"",IF(OR(C252="Closed",C252="Resolved"),"-",Setup!$G$2-H252))</f>
        <v/>
      </c>
      <c r="J252" s="32" t="n"/>
      <c r="K252" s="32" t="n"/>
    </row>
    <row r="253" ht="15" customHeight="1" s="36">
      <c r="A253" s="31">
        <f>IF(B253="","","IT-"&amp;Setup!$F$2&amp;TEXT(ROW()-1,"0000"))</f>
        <v/>
      </c>
      <c r="B253" s="32" t="n"/>
      <c r="C253" s="33" t="n"/>
      <c r="D253" s="33" t="n"/>
      <c r="E253" s="32" t="n"/>
      <c r="F253" s="32" t="n"/>
      <c r="G253" s="32" t="n"/>
      <c r="H253" s="34" t="n"/>
      <c r="I253" s="31">
        <f>IF(OR(H253="",B253=""),"",IF(OR(C253="Closed",C253="Resolved"),"-",Setup!$G$2-H253))</f>
        <v/>
      </c>
      <c r="J253" s="32" t="n"/>
      <c r="K253" s="32" t="n"/>
    </row>
    <row r="254" ht="15" customHeight="1" s="36">
      <c r="A254" s="31">
        <f>IF(B254="","","IT-"&amp;Setup!$F$2&amp;TEXT(ROW()-1,"0000"))</f>
        <v/>
      </c>
      <c r="B254" s="32" t="n"/>
      <c r="C254" s="33" t="n"/>
      <c r="D254" s="33" t="n"/>
      <c r="E254" s="32" t="n"/>
      <c r="F254" s="32" t="n"/>
      <c r="G254" s="32" t="n"/>
      <c r="H254" s="34" t="n"/>
      <c r="I254" s="31">
        <f>IF(OR(H254="",B254=""),"",IF(OR(C254="Closed",C254="Resolved"),"-",Setup!$G$2-H254))</f>
        <v/>
      </c>
      <c r="J254" s="32" t="n"/>
      <c r="K254" s="32" t="n"/>
    </row>
    <row r="255" ht="15" customHeight="1" s="36">
      <c r="A255" s="31">
        <f>IF(B255="","","IT-"&amp;Setup!$F$2&amp;TEXT(ROW()-1,"0000"))</f>
        <v/>
      </c>
      <c r="B255" s="32" t="n"/>
      <c r="C255" s="33" t="n"/>
      <c r="D255" s="33" t="n"/>
      <c r="E255" s="32" t="n"/>
      <c r="F255" s="32" t="n"/>
      <c r="G255" s="32" t="n"/>
      <c r="H255" s="34" t="n"/>
      <c r="I255" s="31">
        <f>IF(OR(H255="",B255=""),"",IF(OR(C255="Closed",C255="Resolved"),"-",Setup!$G$2-H255))</f>
        <v/>
      </c>
      <c r="J255" s="32" t="n"/>
      <c r="K255" s="32" t="n"/>
    </row>
    <row r="256" ht="15" customHeight="1" s="36">
      <c r="A256" s="31">
        <f>IF(B256="","","IT-"&amp;Setup!$F$2&amp;TEXT(ROW()-1,"0000"))</f>
        <v/>
      </c>
      <c r="B256" s="32" t="n"/>
      <c r="C256" s="33" t="n"/>
      <c r="D256" s="33" t="n"/>
      <c r="E256" s="32" t="n"/>
      <c r="F256" s="32" t="n"/>
      <c r="G256" s="32" t="n"/>
      <c r="H256" s="34" t="n"/>
      <c r="I256" s="31">
        <f>IF(OR(H256="",B256=""),"",IF(OR(C256="Closed",C256="Resolved"),"-",Setup!$G$2-H256))</f>
        <v/>
      </c>
      <c r="J256" s="32" t="n"/>
      <c r="K256" s="32" t="n"/>
    </row>
    <row r="257" ht="15" customHeight="1" s="36">
      <c r="A257" s="31">
        <f>IF(B257="","","IT-"&amp;Setup!$F$2&amp;TEXT(ROW()-1,"0000"))</f>
        <v/>
      </c>
      <c r="B257" s="32" t="n"/>
      <c r="C257" s="33" t="n"/>
      <c r="D257" s="33" t="n"/>
      <c r="E257" s="32" t="n"/>
      <c r="F257" s="32" t="n"/>
      <c r="G257" s="32" t="n"/>
      <c r="H257" s="34" t="n"/>
      <c r="I257" s="31">
        <f>IF(OR(H257="",B257=""),"",IF(OR(C257="Closed",C257="Resolved"),"-",Setup!$G$2-H257))</f>
        <v/>
      </c>
      <c r="J257" s="32" t="n"/>
      <c r="K257" s="32" t="n"/>
    </row>
    <row r="258" ht="15" customHeight="1" s="36">
      <c r="A258" s="31">
        <f>IF(B258="","","IT-"&amp;Setup!$F$2&amp;TEXT(ROW()-1,"0000"))</f>
        <v/>
      </c>
      <c r="B258" s="32" t="n"/>
      <c r="C258" s="33" t="n"/>
      <c r="D258" s="33" t="n"/>
      <c r="E258" s="32" t="n"/>
      <c r="F258" s="32" t="n"/>
      <c r="G258" s="32" t="n"/>
      <c r="H258" s="34" t="n"/>
      <c r="I258" s="31">
        <f>IF(OR(H258="",B258=""),"",IF(OR(C258="Closed",C258="Resolved"),"-",Setup!$G$2-H258))</f>
        <v/>
      </c>
      <c r="J258" s="32" t="n"/>
      <c r="K258" s="32" t="n"/>
    </row>
    <row r="259" ht="15" customHeight="1" s="36">
      <c r="A259" s="31">
        <f>IF(B259="","","IT-"&amp;Setup!$F$2&amp;TEXT(ROW()-1,"0000"))</f>
        <v/>
      </c>
      <c r="B259" s="32" t="n"/>
      <c r="C259" s="33" t="n"/>
      <c r="D259" s="33" t="n"/>
      <c r="E259" s="32" t="n"/>
      <c r="F259" s="32" t="n"/>
      <c r="G259" s="32" t="n"/>
      <c r="H259" s="34" t="n"/>
      <c r="I259" s="31">
        <f>IF(OR(H259="",B259=""),"",IF(OR(C259="Closed",C259="Resolved"),"-",Setup!$G$2-H259))</f>
        <v/>
      </c>
      <c r="J259" s="32" t="n"/>
      <c r="K259" s="32" t="n"/>
    </row>
    <row r="260" ht="15" customHeight="1" s="36">
      <c r="A260" s="31">
        <f>IF(B260="","","IT-"&amp;Setup!$F$2&amp;TEXT(ROW()-1,"0000"))</f>
        <v/>
      </c>
      <c r="B260" s="32" t="n"/>
      <c r="C260" s="33" t="n"/>
      <c r="D260" s="33" t="n"/>
      <c r="E260" s="32" t="n"/>
      <c r="F260" s="32" t="n"/>
      <c r="G260" s="32" t="n"/>
      <c r="H260" s="34" t="n"/>
      <c r="I260" s="31">
        <f>IF(OR(H260="",B260=""),"",IF(OR(C260="Closed",C260="Resolved"),"-",Setup!$G$2-H260))</f>
        <v/>
      </c>
      <c r="J260" s="32" t="n"/>
      <c r="K260" s="32" t="n"/>
    </row>
    <row r="261" ht="15" customHeight="1" s="36">
      <c r="A261" s="31">
        <f>IF(B261="","","IT-"&amp;Setup!$F$2&amp;TEXT(ROW()-1,"0000"))</f>
        <v/>
      </c>
      <c r="B261" s="32" t="n"/>
      <c r="C261" s="33" t="n"/>
      <c r="D261" s="33" t="n"/>
      <c r="E261" s="32" t="n"/>
      <c r="F261" s="32" t="n"/>
      <c r="G261" s="32" t="n"/>
      <c r="H261" s="34" t="n"/>
      <c r="I261" s="31">
        <f>IF(OR(H261="",B261=""),"",IF(OR(C261="Closed",C261="Resolved"),"-",Setup!$G$2-H261))</f>
        <v/>
      </c>
      <c r="J261" s="32" t="n"/>
      <c r="K261" s="32" t="n"/>
    </row>
    <row r="262" ht="15" customHeight="1" s="36">
      <c r="A262" s="31">
        <f>IF(B262="","","IT-"&amp;Setup!$F$2&amp;TEXT(ROW()-1,"0000"))</f>
        <v/>
      </c>
      <c r="B262" s="32" t="n"/>
      <c r="C262" s="33" t="n"/>
      <c r="D262" s="33" t="n"/>
      <c r="E262" s="32" t="n"/>
      <c r="F262" s="32" t="n"/>
      <c r="G262" s="32" t="n"/>
      <c r="H262" s="34" t="n"/>
      <c r="I262" s="31">
        <f>IF(OR(H262="",B262=""),"",IF(OR(C262="Closed",C262="Resolved"),"-",Setup!$G$2-H262))</f>
        <v/>
      </c>
      <c r="J262" s="32" t="n"/>
      <c r="K262" s="32" t="n"/>
    </row>
    <row r="263" ht="15" customHeight="1" s="36">
      <c r="A263" s="31">
        <f>IF(B263="","","IT-"&amp;Setup!$F$2&amp;TEXT(ROW()-1,"0000"))</f>
        <v/>
      </c>
      <c r="B263" s="32" t="n"/>
      <c r="C263" s="33" t="n"/>
      <c r="D263" s="33" t="n"/>
      <c r="E263" s="32" t="n"/>
      <c r="F263" s="32" t="n"/>
      <c r="G263" s="32" t="n"/>
      <c r="H263" s="34" t="n"/>
      <c r="I263" s="31">
        <f>IF(OR(H263="",B263=""),"",IF(OR(C263="Closed",C263="Resolved"),"-",Setup!$G$2-H263))</f>
        <v/>
      </c>
      <c r="J263" s="32" t="n"/>
      <c r="K263" s="32" t="n"/>
    </row>
    <row r="264" ht="15" customHeight="1" s="36">
      <c r="A264" s="31">
        <f>IF(B264="","","IT-"&amp;Setup!$F$2&amp;TEXT(ROW()-1,"0000"))</f>
        <v/>
      </c>
      <c r="B264" s="32" t="n"/>
      <c r="C264" s="33" t="n"/>
      <c r="D264" s="33" t="n"/>
      <c r="E264" s="32" t="n"/>
      <c r="F264" s="32" t="n"/>
      <c r="G264" s="32" t="n"/>
      <c r="H264" s="34" t="n"/>
      <c r="I264" s="31">
        <f>IF(OR(H264="",B264=""),"",IF(OR(C264="Closed",C264="Resolved"),"-",Setup!$G$2-H264))</f>
        <v/>
      </c>
      <c r="J264" s="32" t="n"/>
      <c r="K264" s="32" t="n"/>
    </row>
    <row r="265" ht="15" customHeight="1" s="36">
      <c r="A265" s="31">
        <f>IF(B265="","","IT-"&amp;Setup!$F$2&amp;TEXT(ROW()-1,"0000"))</f>
        <v/>
      </c>
      <c r="B265" s="32" t="n"/>
      <c r="C265" s="33" t="n"/>
      <c r="D265" s="33" t="n"/>
      <c r="E265" s="32" t="n"/>
      <c r="F265" s="32" t="n"/>
      <c r="G265" s="32" t="n"/>
      <c r="H265" s="34" t="n"/>
      <c r="I265" s="31">
        <f>IF(OR(H265="",B265=""),"",IF(OR(C265="Closed",C265="Resolved"),"-",Setup!$G$2-H265))</f>
        <v/>
      </c>
      <c r="J265" s="32" t="n"/>
      <c r="K265" s="32" t="n"/>
    </row>
    <row r="266" ht="15" customHeight="1" s="36">
      <c r="A266" s="31">
        <f>IF(B266="","","IT-"&amp;Setup!$F$2&amp;TEXT(ROW()-1,"0000"))</f>
        <v/>
      </c>
      <c r="B266" s="32" t="n"/>
      <c r="C266" s="33" t="n"/>
      <c r="D266" s="33" t="n"/>
      <c r="E266" s="32" t="n"/>
      <c r="F266" s="32" t="n"/>
      <c r="G266" s="32" t="n"/>
      <c r="H266" s="34" t="n"/>
      <c r="I266" s="31">
        <f>IF(OR(H266="",B266=""),"",IF(OR(C266="Closed",C266="Resolved"),"-",Setup!$G$2-H266))</f>
        <v/>
      </c>
      <c r="J266" s="32" t="n"/>
      <c r="K266" s="32" t="n"/>
    </row>
    <row r="267" ht="15" customHeight="1" s="36">
      <c r="A267" s="31">
        <f>IF(B267="","","IT-"&amp;Setup!$F$2&amp;TEXT(ROW()-1,"0000"))</f>
        <v/>
      </c>
      <c r="B267" s="32" t="n"/>
      <c r="C267" s="33" t="n"/>
      <c r="D267" s="33" t="n"/>
      <c r="E267" s="32" t="n"/>
      <c r="F267" s="32" t="n"/>
      <c r="G267" s="32" t="n"/>
      <c r="H267" s="34" t="n"/>
      <c r="I267" s="31">
        <f>IF(OR(H267="",B267=""),"",IF(OR(C267="Closed",C267="Resolved"),"-",Setup!$G$2-H267))</f>
        <v/>
      </c>
      <c r="J267" s="32" t="n"/>
      <c r="K267" s="32" t="n"/>
    </row>
    <row r="268" ht="15" customHeight="1" s="36">
      <c r="A268" s="31">
        <f>IF(B268="","","IT-"&amp;Setup!$F$2&amp;TEXT(ROW()-1,"0000"))</f>
        <v/>
      </c>
      <c r="B268" s="32" t="n"/>
      <c r="C268" s="33" t="n"/>
      <c r="D268" s="33" t="n"/>
      <c r="E268" s="32" t="n"/>
      <c r="F268" s="32" t="n"/>
      <c r="G268" s="32" t="n"/>
      <c r="H268" s="34" t="n"/>
      <c r="I268" s="31">
        <f>IF(OR(H268="",B268=""),"",IF(OR(C268="Closed",C268="Resolved"),"-",Setup!$G$2-H268))</f>
        <v/>
      </c>
      <c r="J268" s="32" t="n"/>
      <c r="K268" s="32" t="n"/>
    </row>
    <row r="269" ht="15" customHeight="1" s="36">
      <c r="A269" s="31">
        <f>IF(B269="","","IT-"&amp;Setup!$F$2&amp;TEXT(ROW()-1,"0000"))</f>
        <v/>
      </c>
      <c r="B269" s="32" t="n"/>
      <c r="C269" s="33" t="n"/>
      <c r="D269" s="33" t="n"/>
      <c r="E269" s="32" t="n"/>
      <c r="F269" s="32" t="n"/>
      <c r="G269" s="32" t="n"/>
      <c r="H269" s="34" t="n"/>
      <c r="I269" s="31">
        <f>IF(OR(H269="",B269=""),"",IF(OR(C269="Closed",C269="Resolved"),"-",Setup!$G$2-H269))</f>
        <v/>
      </c>
      <c r="J269" s="32" t="n"/>
      <c r="K269" s="32" t="n"/>
    </row>
    <row r="270" ht="15" customHeight="1" s="36">
      <c r="A270" s="31">
        <f>IF(B270="","","IT-"&amp;Setup!$F$2&amp;TEXT(ROW()-1,"0000"))</f>
        <v/>
      </c>
      <c r="B270" s="32" t="n"/>
      <c r="C270" s="33" t="n"/>
      <c r="D270" s="33" t="n"/>
      <c r="E270" s="32" t="n"/>
      <c r="F270" s="32" t="n"/>
      <c r="G270" s="32" t="n"/>
      <c r="H270" s="34" t="n"/>
      <c r="I270" s="31">
        <f>IF(OR(H270="",B270=""),"",IF(OR(C270="Closed",C270="Resolved"),"-",Setup!$G$2-H270))</f>
        <v/>
      </c>
      <c r="J270" s="32" t="n"/>
      <c r="K270" s="32" t="n"/>
    </row>
    <row r="271" ht="15" customHeight="1" s="36">
      <c r="A271" s="31">
        <f>IF(B271="","","IT-"&amp;Setup!$F$2&amp;TEXT(ROW()-1,"0000"))</f>
        <v/>
      </c>
      <c r="B271" s="32" t="n"/>
      <c r="C271" s="33" t="n"/>
      <c r="D271" s="33" t="n"/>
      <c r="E271" s="32" t="n"/>
      <c r="F271" s="32" t="n"/>
      <c r="G271" s="32" t="n"/>
      <c r="H271" s="34" t="n"/>
      <c r="I271" s="31">
        <f>IF(OR(H271="",B271=""),"",IF(OR(C271="Closed",C271="Resolved"),"-",Setup!$G$2-H271))</f>
        <v/>
      </c>
      <c r="J271" s="32" t="n"/>
      <c r="K271" s="32" t="n"/>
    </row>
    <row r="272" ht="15" customHeight="1" s="36">
      <c r="A272" s="31">
        <f>IF(B272="","","IT-"&amp;Setup!$F$2&amp;TEXT(ROW()-1,"0000"))</f>
        <v/>
      </c>
      <c r="B272" s="32" t="n"/>
      <c r="C272" s="33" t="n"/>
      <c r="D272" s="33" t="n"/>
      <c r="E272" s="32" t="n"/>
      <c r="F272" s="32" t="n"/>
      <c r="G272" s="32" t="n"/>
      <c r="H272" s="34" t="n"/>
      <c r="I272" s="31">
        <f>IF(OR(H272="",B272=""),"",IF(OR(C272="Closed",C272="Resolved"),"-",Setup!$G$2-H272))</f>
        <v/>
      </c>
      <c r="J272" s="32" t="n"/>
      <c r="K272" s="32" t="n"/>
    </row>
    <row r="273" ht="15" customHeight="1" s="36">
      <c r="A273" s="31">
        <f>IF(B273="","","IT-"&amp;Setup!$F$2&amp;TEXT(ROW()-1,"0000"))</f>
        <v/>
      </c>
      <c r="B273" s="32" t="n"/>
      <c r="C273" s="33" t="n"/>
      <c r="D273" s="33" t="n"/>
      <c r="E273" s="32" t="n"/>
      <c r="F273" s="32" t="n"/>
      <c r="G273" s="32" t="n"/>
      <c r="H273" s="34" t="n"/>
      <c r="I273" s="31">
        <f>IF(OR(H273="",B273=""),"",IF(OR(C273="Closed",C273="Resolved"),"-",Setup!$G$2-H273))</f>
        <v/>
      </c>
      <c r="J273" s="32" t="n"/>
      <c r="K273" s="32" t="n"/>
    </row>
    <row r="274" ht="15" customHeight="1" s="36">
      <c r="A274" s="31">
        <f>IF(B274="","","IT-"&amp;Setup!$F$2&amp;TEXT(ROW()-1,"0000"))</f>
        <v/>
      </c>
      <c r="B274" s="32" t="n"/>
      <c r="C274" s="33" t="n"/>
      <c r="D274" s="33" t="n"/>
      <c r="E274" s="32" t="n"/>
      <c r="F274" s="32" t="n"/>
      <c r="G274" s="32" t="n"/>
      <c r="H274" s="34" t="n"/>
      <c r="I274" s="31">
        <f>IF(OR(H274="",B274=""),"",IF(OR(C274="Closed",C274="Resolved"),"-",Setup!$G$2-H274))</f>
        <v/>
      </c>
      <c r="J274" s="32" t="n"/>
      <c r="K274" s="32" t="n"/>
    </row>
    <row r="275" ht="15" customHeight="1" s="36">
      <c r="A275" s="31">
        <f>IF(B275="","","IT-"&amp;Setup!$F$2&amp;TEXT(ROW()-1,"0000"))</f>
        <v/>
      </c>
      <c r="B275" s="32" t="n"/>
      <c r="C275" s="33" t="n"/>
      <c r="D275" s="33" t="n"/>
      <c r="E275" s="32" t="n"/>
      <c r="F275" s="32" t="n"/>
      <c r="G275" s="32" t="n"/>
      <c r="H275" s="34" t="n"/>
      <c r="I275" s="31">
        <f>IF(OR(H275="",B275=""),"",IF(OR(C275="Closed",C275="Resolved"),"-",Setup!$G$2-H275))</f>
        <v/>
      </c>
      <c r="J275" s="32" t="n"/>
      <c r="K275" s="32" t="n"/>
    </row>
    <row r="276" ht="15" customHeight="1" s="36">
      <c r="A276" s="31">
        <f>IF(B276="","","IT-"&amp;Setup!$F$2&amp;TEXT(ROW()-1,"0000"))</f>
        <v/>
      </c>
      <c r="B276" s="32" t="n"/>
      <c r="C276" s="33" t="n"/>
      <c r="D276" s="33" t="n"/>
      <c r="E276" s="32" t="n"/>
      <c r="F276" s="32" t="n"/>
      <c r="G276" s="32" t="n"/>
      <c r="H276" s="34" t="n"/>
      <c r="I276" s="31">
        <f>IF(OR(H276="",B276=""),"",IF(OR(C276="Closed",C276="Resolved"),"-",Setup!$G$2-H276))</f>
        <v/>
      </c>
      <c r="J276" s="32" t="n"/>
      <c r="K276" s="32" t="n"/>
    </row>
    <row r="277" ht="15" customHeight="1" s="36">
      <c r="A277" s="31">
        <f>IF(B277="","","IT-"&amp;Setup!$F$2&amp;TEXT(ROW()-1,"0000"))</f>
        <v/>
      </c>
      <c r="B277" s="32" t="n"/>
      <c r="C277" s="33" t="n"/>
      <c r="D277" s="33" t="n"/>
      <c r="E277" s="32" t="n"/>
      <c r="F277" s="32" t="n"/>
      <c r="G277" s="32" t="n"/>
      <c r="H277" s="34" t="n"/>
      <c r="I277" s="31">
        <f>IF(OR(H277="",B277=""),"",IF(OR(C277="Closed",C277="Resolved"),"-",Setup!$G$2-H277))</f>
        <v/>
      </c>
      <c r="J277" s="32" t="n"/>
      <c r="K277" s="32" t="n"/>
    </row>
    <row r="278" ht="15" customHeight="1" s="36">
      <c r="A278" s="31">
        <f>IF(B278="","","IT-"&amp;Setup!$F$2&amp;TEXT(ROW()-1,"0000"))</f>
        <v/>
      </c>
      <c r="B278" s="32" t="n"/>
      <c r="C278" s="33" t="n"/>
      <c r="D278" s="33" t="n"/>
      <c r="E278" s="32" t="n"/>
      <c r="F278" s="32" t="n"/>
      <c r="G278" s="32" t="n"/>
      <c r="H278" s="34" t="n"/>
      <c r="I278" s="31">
        <f>IF(OR(H278="",B278=""),"",IF(OR(C278="Closed",C278="Resolved"),"-",Setup!$G$2-H278))</f>
        <v/>
      </c>
      <c r="J278" s="32" t="n"/>
      <c r="K278" s="32" t="n"/>
    </row>
    <row r="279" ht="15" customHeight="1" s="36">
      <c r="A279" s="31">
        <f>IF(B279="","","IT-"&amp;Setup!$F$2&amp;TEXT(ROW()-1,"0000"))</f>
        <v/>
      </c>
      <c r="B279" s="32" t="n"/>
      <c r="C279" s="33" t="n"/>
      <c r="D279" s="33" t="n"/>
      <c r="E279" s="32" t="n"/>
      <c r="F279" s="32" t="n"/>
      <c r="G279" s="32" t="n"/>
      <c r="H279" s="34" t="n"/>
      <c r="I279" s="31">
        <f>IF(OR(H279="",B279=""),"",IF(OR(C279="Closed",C279="Resolved"),"-",Setup!$G$2-H279))</f>
        <v/>
      </c>
      <c r="J279" s="32" t="n"/>
      <c r="K279" s="32" t="n"/>
    </row>
    <row r="280" ht="15" customHeight="1" s="36">
      <c r="A280" s="31">
        <f>IF(B280="","","IT-"&amp;Setup!$F$2&amp;TEXT(ROW()-1,"0000"))</f>
        <v/>
      </c>
      <c r="B280" s="32" t="n"/>
      <c r="C280" s="33" t="n"/>
      <c r="D280" s="33" t="n"/>
      <c r="E280" s="32" t="n"/>
      <c r="F280" s="32" t="n"/>
      <c r="G280" s="32" t="n"/>
      <c r="H280" s="34" t="n"/>
      <c r="I280" s="31">
        <f>IF(OR(H280="",B280=""),"",IF(OR(C280="Closed",C280="Resolved"),"-",Setup!$G$2-H280))</f>
        <v/>
      </c>
      <c r="J280" s="32" t="n"/>
      <c r="K280" s="32" t="n"/>
    </row>
    <row r="281" ht="15" customHeight="1" s="36">
      <c r="A281" s="31">
        <f>IF(B281="","","IT-"&amp;Setup!$F$2&amp;TEXT(ROW()-1,"0000"))</f>
        <v/>
      </c>
      <c r="B281" s="32" t="n"/>
      <c r="C281" s="33" t="n"/>
      <c r="D281" s="33" t="n"/>
      <c r="E281" s="32" t="n"/>
      <c r="F281" s="32" t="n"/>
      <c r="G281" s="32" t="n"/>
      <c r="H281" s="34" t="n"/>
      <c r="I281" s="31">
        <f>IF(OR(H281="",B281=""),"",IF(OR(C281="Closed",C281="Resolved"),"-",Setup!$G$2-H281))</f>
        <v/>
      </c>
      <c r="J281" s="32" t="n"/>
      <c r="K281" s="32" t="n"/>
    </row>
    <row r="282" ht="15" customHeight="1" s="36">
      <c r="A282" s="31">
        <f>IF(B282="","","IT-"&amp;Setup!$F$2&amp;TEXT(ROW()-1,"0000"))</f>
        <v/>
      </c>
      <c r="B282" s="32" t="n"/>
      <c r="C282" s="33" t="n"/>
      <c r="D282" s="33" t="n"/>
      <c r="E282" s="32" t="n"/>
      <c r="F282" s="32" t="n"/>
      <c r="G282" s="32" t="n"/>
      <c r="H282" s="34" t="n"/>
      <c r="I282" s="31">
        <f>IF(OR(H282="",B282=""),"",IF(OR(C282="Closed",C282="Resolved"),"-",Setup!$G$2-H282))</f>
        <v/>
      </c>
      <c r="J282" s="32" t="n"/>
      <c r="K282" s="32" t="n"/>
    </row>
    <row r="283" ht="15" customHeight="1" s="36">
      <c r="A283" s="31">
        <f>IF(B283="","","IT-"&amp;Setup!$F$2&amp;TEXT(ROW()-1,"0000"))</f>
        <v/>
      </c>
      <c r="B283" s="32" t="n"/>
      <c r="C283" s="33" t="n"/>
      <c r="D283" s="33" t="n"/>
      <c r="E283" s="32" t="n"/>
      <c r="F283" s="32" t="n"/>
      <c r="G283" s="32" t="n"/>
      <c r="H283" s="34" t="n"/>
      <c r="I283" s="31">
        <f>IF(OR(H283="",B283=""),"",IF(OR(C283="Closed",C283="Resolved"),"-",Setup!$G$2-H283))</f>
        <v/>
      </c>
      <c r="J283" s="32" t="n"/>
      <c r="K283" s="32" t="n"/>
    </row>
    <row r="284" ht="15" customHeight="1" s="36">
      <c r="A284" s="31">
        <f>IF(B284="","","IT-"&amp;Setup!$F$2&amp;TEXT(ROW()-1,"0000"))</f>
        <v/>
      </c>
      <c r="B284" s="32" t="n"/>
      <c r="C284" s="33" t="n"/>
      <c r="D284" s="33" t="n"/>
      <c r="E284" s="32" t="n"/>
      <c r="F284" s="32" t="n"/>
      <c r="G284" s="32" t="n"/>
      <c r="H284" s="34" t="n"/>
      <c r="I284" s="31">
        <f>IF(OR(H284="",B284=""),"",IF(OR(C284="Closed",C284="Resolved"),"-",Setup!$G$2-H284))</f>
        <v/>
      </c>
      <c r="J284" s="32" t="n"/>
      <c r="K284" s="32" t="n"/>
    </row>
    <row r="285" ht="15" customHeight="1" s="36">
      <c r="A285" s="31">
        <f>IF(B285="","","IT-"&amp;Setup!$F$2&amp;TEXT(ROW()-1,"0000"))</f>
        <v/>
      </c>
      <c r="B285" s="32" t="n"/>
      <c r="C285" s="33" t="n"/>
      <c r="D285" s="33" t="n"/>
      <c r="E285" s="32" t="n"/>
      <c r="F285" s="32" t="n"/>
      <c r="G285" s="32" t="n"/>
      <c r="H285" s="34" t="n"/>
      <c r="I285" s="31">
        <f>IF(OR(H285="",B285=""),"",IF(OR(C285="Closed",C285="Resolved"),"-",Setup!$G$2-H285))</f>
        <v/>
      </c>
      <c r="J285" s="32" t="n"/>
      <c r="K285" s="32" t="n"/>
    </row>
    <row r="286" ht="15" customHeight="1" s="36">
      <c r="A286" s="31">
        <f>IF(B286="","","IT-"&amp;Setup!$F$2&amp;TEXT(ROW()-1,"0000"))</f>
        <v/>
      </c>
      <c r="B286" s="32" t="n"/>
      <c r="C286" s="33" t="n"/>
      <c r="D286" s="33" t="n"/>
      <c r="E286" s="32" t="n"/>
      <c r="F286" s="32" t="n"/>
      <c r="G286" s="32" t="n"/>
      <c r="H286" s="34" t="n"/>
      <c r="I286" s="31">
        <f>IF(OR(H286="",B286=""),"",IF(OR(C286="Closed",C286="Resolved"),"-",Setup!$G$2-H286))</f>
        <v/>
      </c>
      <c r="J286" s="32" t="n"/>
      <c r="K286" s="32" t="n"/>
    </row>
    <row r="287" ht="15" customHeight="1" s="36">
      <c r="A287" s="31">
        <f>IF(B287="","","IT-"&amp;Setup!$F$2&amp;TEXT(ROW()-1,"0000"))</f>
        <v/>
      </c>
      <c r="B287" s="32" t="n"/>
      <c r="C287" s="33" t="n"/>
      <c r="D287" s="33" t="n"/>
      <c r="E287" s="32" t="n"/>
      <c r="F287" s="32" t="n"/>
      <c r="G287" s="32" t="n"/>
      <c r="H287" s="34" t="n"/>
      <c r="I287" s="31">
        <f>IF(OR(H287="",B287=""),"",IF(OR(C287="Closed",C287="Resolved"),"-",Setup!$G$2-H287))</f>
        <v/>
      </c>
      <c r="J287" s="32" t="n"/>
      <c r="K287" s="32" t="n"/>
    </row>
    <row r="288" ht="15" customHeight="1" s="36">
      <c r="A288" s="31">
        <f>IF(B288="","","IT-"&amp;Setup!$F$2&amp;TEXT(ROW()-1,"0000"))</f>
        <v/>
      </c>
      <c r="B288" s="32" t="n"/>
      <c r="C288" s="33" t="n"/>
      <c r="D288" s="33" t="n"/>
      <c r="E288" s="32" t="n"/>
      <c r="F288" s="32" t="n"/>
      <c r="G288" s="32" t="n"/>
      <c r="H288" s="34" t="n"/>
      <c r="I288" s="31">
        <f>IF(OR(H288="",B288=""),"",IF(OR(C288="Closed",C288="Resolved"),"-",Setup!$G$2-H288))</f>
        <v/>
      </c>
      <c r="J288" s="32" t="n"/>
      <c r="K288" s="32" t="n"/>
    </row>
    <row r="289" ht="15" customHeight="1" s="36">
      <c r="A289" s="31">
        <f>IF(B289="","","IT-"&amp;Setup!$F$2&amp;TEXT(ROW()-1,"0000"))</f>
        <v/>
      </c>
      <c r="B289" s="32" t="n"/>
      <c r="C289" s="33" t="n"/>
      <c r="D289" s="33" t="n"/>
      <c r="E289" s="32" t="n"/>
      <c r="F289" s="32" t="n"/>
      <c r="G289" s="32" t="n"/>
      <c r="H289" s="34" t="n"/>
      <c r="I289" s="31">
        <f>IF(OR(H289="",B289=""),"",IF(OR(C289="Closed",C289="Resolved"),"-",Setup!$G$2-H289))</f>
        <v/>
      </c>
      <c r="J289" s="32" t="n"/>
      <c r="K289" s="32" t="n"/>
    </row>
    <row r="290" ht="15" customHeight="1" s="36">
      <c r="A290" s="31">
        <f>IF(B290="","","IT-"&amp;Setup!$F$2&amp;TEXT(ROW()-1,"0000"))</f>
        <v/>
      </c>
      <c r="B290" s="32" t="n"/>
      <c r="C290" s="33" t="n"/>
      <c r="D290" s="33" t="n"/>
      <c r="E290" s="32" t="n"/>
      <c r="F290" s="32" t="n"/>
      <c r="G290" s="32" t="n"/>
      <c r="H290" s="34" t="n"/>
      <c r="I290" s="31">
        <f>IF(OR(H290="",B290=""),"",IF(OR(C290="Closed",C290="Resolved"),"-",Setup!$G$2-H290))</f>
        <v/>
      </c>
      <c r="J290" s="32" t="n"/>
      <c r="K290" s="32" t="n"/>
    </row>
    <row r="291" ht="15" customHeight="1" s="36">
      <c r="A291" s="31">
        <f>IF(B291="","","IT-"&amp;Setup!$F$2&amp;TEXT(ROW()-1,"0000"))</f>
        <v/>
      </c>
      <c r="B291" s="32" t="n"/>
      <c r="C291" s="33" t="n"/>
      <c r="D291" s="33" t="n"/>
      <c r="E291" s="32" t="n"/>
      <c r="F291" s="32" t="n"/>
      <c r="G291" s="32" t="n"/>
      <c r="H291" s="34" t="n"/>
      <c r="I291" s="31">
        <f>IF(OR(H291="",B291=""),"",IF(OR(C291="Closed",C291="Resolved"),"-",Setup!$G$2-H291))</f>
        <v/>
      </c>
      <c r="J291" s="32" t="n"/>
      <c r="K291" s="32" t="n"/>
    </row>
    <row r="292" ht="15" customHeight="1" s="36">
      <c r="A292" s="31">
        <f>IF(B292="","","IT-"&amp;Setup!$F$2&amp;TEXT(ROW()-1,"0000"))</f>
        <v/>
      </c>
      <c r="B292" s="32" t="n"/>
      <c r="C292" s="33" t="n"/>
      <c r="D292" s="33" t="n"/>
      <c r="E292" s="32" t="n"/>
      <c r="F292" s="32" t="n"/>
      <c r="G292" s="32" t="n"/>
      <c r="H292" s="34" t="n"/>
      <c r="I292" s="31">
        <f>IF(OR(H292="",B292=""),"",IF(OR(C292="Closed",C292="Resolved"),"-",Setup!$G$2-H292))</f>
        <v/>
      </c>
      <c r="J292" s="32" t="n"/>
      <c r="K292" s="32" t="n"/>
    </row>
    <row r="293" ht="15" customHeight="1" s="36">
      <c r="A293" s="31">
        <f>IF(B293="","","IT-"&amp;Setup!$F$2&amp;TEXT(ROW()-1,"0000"))</f>
        <v/>
      </c>
      <c r="B293" s="32" t="n"/>
      <c r="C293" s="33" t="n"/>
      <c r="D293" s="33" t="n"/>
      <c r="E293" s="32" t="n"/>
      <c r="F293" s="32" t="n"/>
      <c r="G293" s="32" t="n"/>
      <c r="H293" s="34" t="n"/>
      <c r="I293" s="31">
        <f>IF(OR(H293="",B293=""),"",IF(OR(C293="Closed",C293="Resolved"),"-",Setup!$G$2-H293))</f>
        <v/>
      </c>
      <c r="J293" s="32" t="n"/>
      <c r="K293" s="32" t="n"/>
    </row>
    <row r="294" ht="15" customHeight="1" s="36">
      <c r="A294" s="31">
        <f>IF(B294="","","IT-"&amp;Setup!$F$2&amp;TEXT(ROW()-1,"0000"))</f>
        <v/>
      </c>
      <c r="B294" s="32" t="n"/>
      <c r="C294" s="33" t="n"/>
      <c r="D294" s="33" t="n"/>
      <c r="E294" s="32" t="n"/>
      <c r="F294" s="32" t="n"/>
      <c r="G294" s="32" t="n"/>
      <c r="H294" s="34" t="n"/>
      <c r="I294" s="31">
        <f>IF(OR(H294="",B294=""),"",IF(OR(C294="Closed",C294="Resolved"),"-",Setup!$G$2-H294))</f>
        <v/>
      </c>
      <c r="J294" s="32" t="n"/>
      <c r="K294" s="32" t="n"/>
    </row>
    <row r="295" ht="15" customHeight="1" s="36">
      <c r="A295" s="31">
        <f>IF(B295="","","IT-"&amp;Setup!$F$2&amp;TEXT(ROW()-1,"0000"))</f>
        <v/>
      </c>
      <c r="B295" s="32" t="n"/>
      <c r="C295" s="33" t="n"/>
      <c r="D295" s="33" t="n"/>
      <c r="E295" s="32" t="n"/>
      <c r="F295" s="32" t="n"/>
      <c r="G295" s="32" t="n"/>
      <c r="H295" s="34" t="n"/>
      <c r="I295" s="31">
        <f>IF(OR(H295="",B295=""),"",IF(OR(C295="Closed",C295="Resolved"),"-",Setup!$G$2-H295))</f>
        <v/>
      </c>
      <c r="J295" s="32" t="n"/>
      <c r="K295" s="32" t="n"/>
    </row>
    <row r="296" ht="15" customHeight="1" s="36">
      <c r="A296" s="31">
        <f>IF(B296="","","IT-"&amp;Setup!$F$2&amp;TEXT(ROW()-1,"0000"))</f>
        <v/>
      </c>
      <c r="B296" s="32" t="n"/>
      <c r="C296" s="33" t="n"/>
      <c r="D296" s="33" t="n"/>
      <c r="E296" s="32" t="n"/>
      <c r="F296" s="32" t="n"/>
      <c r="G296" s="32" t="n"/>
      <c r="H296" s="34" t="n"/>
      <c r="I296" s="31">
        <f>IF(OR(H296="",B296=""),"",IF(OR(C296="Closed",C296="Resolved"),"-",Setup!$G$2-H296))</f>
        <v/>
      </c>
      <c r="J296" s="32" t="n"/>
      <c r="K296" s="32" t="n"/>
    </row>
    <row r="297" ht="15" customHeight="1" s="36">
      <c r="A297" s="31">
        <f>IF(B297="","","IT-"&amp;Setup!$F$2&amp;TEXT(ROW()-1,"0000"))</f>
        <v/>
      </c>
      <c r="B297" s="32" t="n"/>
      <c r="C297" s="33" t="n"/>
      <c r="D297" s="33" t="n"/>
      <c r="E297" s="32" t="n"/>
      <c r="F297" s="32" t="n"/>
      <c r="G297" s="32" t="n"/>
      <c r="H297" s="34" t="n"/>
      <c r="I297" s="31">
        <f>IF(OR(H297="",B297=""),"",IF(OR(C297="Closed",C297="Resolved"),"-",Setup!$G$2-H297))</f>
        <v/>
      </c>
      <c r="J297" s="32" t="n"/>
      <c r="K297" s="32" t="n"/>
    </row>
    <row r="298" ht="15" customHeight="1" s="36">
      <c r="A298" s="31">
        <f>IF(B298="","","IT-"&amp;Setup!$F$2&amp;TEXT(ROW()-1,"0000"))</f>
        <v/>
      </c>
      <c r="B298" s="32" t="n"/>
      <c r="C298" s="33" t="n"/>
      <c r="D298" s="33" t="n"/>
      <c r="E298" s="32" t="n"/>
      <c r="F298" s="32" t="n"/>
      <c r="G298" s="32" t="n"/>
      <c r="H298" s="34" t="n"/>
      <c r="I298" s="31">
        <f>IF(OR(H298="",B298=""),"",IF(OR(C298="Closed",C298="Resolved"),"-",Setup!$G$2-H298))</f>
        <v/>
      </c>
      <c r="J298" s="32" t="n"/>
      <c r="K298" s="32" t="n"/>
    </row>
    <row r="299" ht="15" customHeight="1" s="36">
      <c r="A299" s="31">
        <f>IF(B299="","","IT-"&amp;Setup!$F$2&amp;TEXT(ROW()-1,"0000"))</f>
        <v/>
      </c>
      <c r="B299" s="32" t="n"/>
      <c r="C299" s="33" t="n"/>
      <c r="D299" s="33" t="n"/>
      <c r="E299" s="32" t="n"/>
      <c r="F299" s="32" t="n"/>
      <c r="G299" s="32" t="n"/>
      <c r="H299" s="34" t="n"/>
      <c r="I299" s="31">
        <f>IF(OR(H299="",B299=""),"",IF(OR(C299="Closed",C299="Resolved"),"-",Setup!$G$2-H299))</f>
        <v/>
      </c>
      <c r="J299" s="32" t="n"/>
      <c r="K299" s="32" t="n"/>
    </row>
    <row r="300" ht="15" customHeight="1" s="36">
      <c r="A300" s="31">
        <f>IF(B300="","","IT-"&amp;Setup!$F$2&amp;TEXT(ROW()-1,"0000"))</f>
        <v/>
      </c>
      <c r="B300" s="32" t="n"/>
      <c r="C300" s="33" t="n"/>
      <c r="D300" s="33" t="n"/>
      <c r="E300" s="32" t="n"/>
      <c r="F300" s="32" t="n"/>
      <c r="G300" s="32" t="n"/>
      <c r="H300" s="34" t="n"/>
      <c r="I300" s="31">
        <f>IF(OR(H300="",B300=""),"",IF(OR(C300="Closed",C300="Resolved"),"-",Setup!$G$2-H300))</f>
        <v/>
      </c>
      <c r="J300" s="32" t="n"/>
      <c r="K300" s="32" t="n"/>
    </row>
    <row r="301" ht="15" customHeight="1" s="36">
      <c r="A301" s="31">
        <f>IF(B301="","","IT-"&amp;Setup!$F$2&amp;TEXT(ROW()-1,"0000"))</f>
        <v/>
      </c>
      <c r="B301" s="32" t="n"/>
      <c r="C301" s="33" t="n"/>
      <c r="D301" s="33" t="n"/>
      <c r="E301" s="32" t="n"/>
      <c r="F301" s="32" t="n"/>
      <c r="G301" s="32" t="n"/>
      <c r="H301" s="34" t="n"/>
      <c r="I301" s="31">
        <f>IF(OR(H301="",B301=""),"",IF(OR(C301="Closed",C301="Resolved"),"-",Setup!$G$2-H301))</f>
        <v/>
      </c>
      <c r="J301" s="32" t="n"/>
      <c r="K301" s="32" t="n"/>
    </row>
    <row r="302" ht="15" customHeight="1" s="36">
      <c r="A302" s="31">
        <f>IF(B302="","","IT-"&amp;Setup!$F$2&amp;TEXT(ROW()-1,"0000"))</f>
        <v/>
      </c>
      <c r="B302" s="32" t="n"/>
      <c r="C302" s="33" t="n"/>
      <c r="D302" s="33" t="n"/>
      <c r="E302" s="32" t="n"/>
      <c r="F302" s="32" t="n"/>
      <c r="G302" s="32" t="n"/>
      <c r="H302" s="34" t="n"/>
      <c r="I302" s="31">
        <f>IF(OR(H302="",B302=""),"",IF(OR(C302="Closed",C302="Resolved"),"-",Setup!$G$2-H302))</f>
        <v/>
      </c>
      <c r="J302" s="32" t="n"/>
      <c r="K302" s="32" t="n"/>
    </row>
    <row r="303" ht="15" customHeight="1" s="36">
      <c r="A303" s="31">
        <f>IF(B303="","","IT-"&amp;Setup!$F$2&amp;TEXT(ROW()-1,"0000"))</f>
        <v/>
      </c>
      <c r="B303" s="32" t="n"/>
      <c r="C303" s="33" t="n"/>
      <c r="D303" s="33" t="n"/>
      <c r="E303" s="32" t="n"/>
      <c r="F303" s="32" t="n"/>
      <c r="G303" s="32" t="n"/>
      <c r="H303" s="34" t="n"/>
      <c r="I303" s="31">
        <f>IF(OR(H303="",B303=""),"",IF(OR(C303="Closed",C303="Resolved"),"-",Setup!$G$2-H303))</f>
        <v/>
      </c>
      <c r="J303" s="32" t="n"/>
      <c r="K303" s="32" t="n"/>
    </row>
    <row r="304" ht="15" customHeight="1" s="36">
      <c r="A304" s="31">
        <f>IF(B304="","","IT-"&amp;Setup!$F$2&amp;TEXT(ROW()-1,"0000"))</f>
        <v/>
      </c>
      <c r="B304" s="32" t="n"/>
      <c r="C304" s="33" t="n"/>
      <c r="D304" s="33" t="n"/>
      <c r="E304" s="32" t="n"/>
      <c r="F304" s="32" t="n"/>
      <c r="G304" s="32" t="n"/>
      <c r="H304" s="34" t="n"/>
      <c r="I304" s="31">
        <f>IF(OR(H304="",B304=""),"",IF(OR(C304="Closed",C304="Resolved"),"-",Setup!$G$2-H304))</f>
        <v/>
      </c>
      <c r="J304" s="32" t="n"/>
      <c r="K304" s="32" t="n"/>
    </row>
    <row r="305" ht="15" customHeight="1" s="36">
      <c r="A305" s="31">
        <f>IF(B305="","","IT-"&amp;Setup!$F$2&amp;TEXT(ROW()-1,"0000"))</f>
        <v/>
      </c>
      <c r="B305" s="32" t="n"/>
      <c r="C305" s="33" t="n"/>
      <c r="D305" s="33" t="n"/>
      <c r="E305" s="32" t="n"/>
      <c r="F305" s="32" t="n"/>
      <c r="G305" s="32" t="n"/>
      <c r="H305" s="34" t="n"/>
      <c r="I305" s="31">
        <f>IF(OR(H305="",B305=""),"",IF(OR(C305="Closed",C305="Resolved"),"-",Setup!$G$2-H305))</f>
        <v/>
      </c>
      <c r="J305" s="32" t="n"/>
      <c r="K305" s="32" t="n"/>
    </row>
    <row r="306" ht="15" customHeight="1" s="36">
      <c r="A306" s="31">
        <f>IF(B306="","","IT-"&amp;Setup!$F$2&amp;TEXT(ROW()-1,"0000"))</f>
        <v/>
      </c>
      <c r="B306" s="32" t="n"/>
      <c r="C306" s="33" t="n"/>
      <c r="D306" s="33" t="n"/>
      <c r="E306" s="32" t="n"/>
      <c r="F306" s="32" t="n"/>
      <c r="G306" s="32" t="n"/>
      <c r="H306" s="34" t="n"/>
      <c r="I306" s="31">
        <f>IF(OR(H306="",B306=""),"",IF(OR(C306="Closed",C306="Resolved"),"-",Setup!$G$2-H306))</f>
        <v/>
      </c>
      <c r="J306" s="32" t="n"/>
      <c r="K306" s="32" t="n"/>
    </row>
    <row r="307" ht="15" customHeight="1" s="36">
      <c r="A307" s="31">
        <f>IF(B307="","","IT-"&amp;Setup!$F$2&amp;TEXT(ROW()-1,"0000"))</f>
        <v/>
      </c>
      <c r="B307" s="32" t="n"/>
      <c r="C307" s="33" t="n"/>
      <c r="D307" s="33" t="n"/>
      <c r="E307" s="32" t="n"/>
      <c r="F307" s="32" t="n"/>
      <c r="G307" s="32" t="n"/>
      <c r="H307" s="34" t="n"/>
      <c r="I307" s="31">
        <f>IF(OR(H307="",B307=""),"",IF(OR(C307="Closed",C307="Resolved"),"-",Setup!$G$2-H307))</f>
        <v/>
      </c>
      <c r="J307" s="32" t="n"/>
      <c r="K307" s="32" t="n"/>
    </row>
    <row r="308" ht="15" customHeight="1" s="36">
      <c r="A308" s="31">
        <f>IF(B308="","","IT-"&amp;Setup!$F$2&amp;TEXT(ROW()-1,"0000"))</f>
        <v/>
      </c>
      <c r="B308" s="32" t="n"/>
      <c r="C308" s="33" t="n"/>
      <c r="D308" s="33" t="n"/>
      <c r="E308" s="32" t="n"/>
      <c r="F308" s="32" t="n"/>
      <c r="G308" s="32" t="n"/>
      <c r="H308" s="34" t="n"/>
      <c r="I308" s="31">
        <f>IF(OR(H308="",B308=""),"",IF(OR(C308="Closed",C308="Resolved"),"-",Setup!$G$2-H308))</f>
        <v/>
      </c>
      <c r="J308" s="32" t="n"/>
      <c r="K308" s="32" t="n"/>
    </row>
    <row r="309" ht="15" customHeight="1" s="36">
      <c r="A309" s="31">
        <f>IF(B309="","","IT-"&amp;Setup!$F$2&amp;TEXT(ROW()-1,"0000"))</f>
        <v/>
      </c>
      <c r="B309" s="32" t="n"/>
      <c r="C309" s="33" t="n"/>
      <c r="D309" s="33" t="n"/>
      <c r="E309" s="32" t="n"/>
      <c r="F309" s="32" t="n"/>
      <c r="G309" s="32" t="n"/>
      <c r="H309" s="34" t="n"/>
      <c r="I309" s="31">
        <f>IF(OR(H309="",B309=""),"",IF(OR(C309="Closed",C309="Resolved"),"-",Setup!$G$2-H309))</f>
        <v/>
      </c>
      <c r="J309" s="32" t="n"/>
      <c r="K309" s="32" t="n"/>
    </row>
    <row r="310" ht="15" customHeight="1" s="36">
      <c r="A310" s="31">
        <f>IF(B310="","","IT-"&amp;Setup!$F$2&amp;TEXT(ROW()-1,"0000"))</f>
        <v/>
      </c>
      <c r="B310" s="32" t="n"/>
      <c r="C310" s="33" t="n"/>
      <c r="D310" s="33" t="n"/>
      <c r="E310" s="32" t="n"/>
      <c r="F310" s="32" t="n"/>
      <c r="G310" s="32" t="n"/>
      <c r="H310" s="34" t="n"/>
      <c r="I310" s="31">
        <f>IF(OR(H310="",B310=""),"",IF(OR(C310="Closed",C310="Resolved"),"-",Setup!$G$2-H310))</f>
        <v/>
      </c>
      <c r="J310" s="32" t="n"/>
      <c r="K310" s="32" t="n"/>
    </row>
    <row r="311" ht="15" customHeight="1" s="36">
      <c r="A311" s="31">
        <f>IF(B311="","","IT-"&amp;Setup!$F$2&amp;TEXT(ROW()-1,"0000"))</f>
        <v/>
      </c>
      <c r="B311" s="32" t="n"/>
      <c r="C311" s="33" t="n"/>
      <c r="D311" s="33" t="n"/>
      <c r="E311" s="32" t="n"/>
      <c r="F311" s="32" t="n"/>
      <c r="G311" s="32" t="n"/>
      <c r="H311" s="34" t="n"/>
      <c r="I311" s="31">
        <f>IF(OR(H311="",B311=""),"",IF(OR(C311="Closed",C311="Resolved"),"-",Setup!$G$2-H311))</f>
        <v/>
      </c>
      <c r="J311" s="32" t="n"/>
      <c r="K311" s="32" t="n"/>
    </row>
    <row r="312" ht="15" customHeight="1" s="36">
      <c r="A312" s="31">
        <f>IF(B312="","","IT-"&amp;Setup!$F$2&amp;TEXT(ROW()-1,"0000"))</f>
        <v/>
      </c>
      <c r="B312" s="32" t="n"/>
      <c r="C312" s="33" t="n"/>
      <c r="D312" s="33" t="n"/>
      <c r="E312" s="32" t="n"/>
      <c r="F312" s="32" t="n"/>
      <c r="G312" s="32" t="n"/>
      <c r="H312" s="34" t="n"/>
      <c r="I312" s="31">
        <f>IF(OR(H312="",B312=""),"",IF(OR(C312="Closed",C312="Resolved"),"-",Setup!$G$2-H312))</f>
        <v/>
      </c>
      <c r="J312" s="32" t="n"/>
      <c r="K312" s="32" t="n"/>
    </row>
    <row r="313" ht="15" customHeight="1" s="36">
      <c r="A313" s="31">
        <f>IF(B313="","","IT-"&amp;Setup!$F$2&amp;TEXT(ROW()-1,"0000"))</f>
        <v/>
      </c>
      <c r="B313" s="32" t="n"/>
      <c r="C313" s="33" t="n"/>
      <c r="D313" s="33" t="n"/>
      <c r="E313" s="32" t="n"/>
      <c r="F313" s="32" t="n"/>
      <c r="G313" s="32" t="n"/>
      <c r="H313" s="34" t="n"/>
      <c r="I313" s="31">
        <f>IF(OR(H313="",B313=""),"",IF(OR(C313="Closed",C313="Resolved"),"-",Setup!$G$2-H313))</f>
        <v/>
      </c>
      <c r="J313" s="32" t="n"/>
      <c r="K313" s="32" t="n"/>
    </row>
    <row r="314" ht="15" customHeight="1" s="36">
      <c r="A314" s="31">
        <f>IF(B314="","","IT-"&amp;Setup!$F$2&amp;TEXT(ROW()-1,"0000"))</f>
        <v/>
      </c>
      <c r="B314" s="32" t="n"/>
      <c r="C314" s="33" t="n"/>
      <c r="D314" s="33" t="n"/>
      <c r="E314" s="32" t="n"/>
      <c r="F314" s="32" t="n"/>
      <c r="G314" s="32" t="n"/>
      <c r="H314" s="34" t="n"/>
      <c r="I314" s="31">
        <f>IF(OR(H314="",B314=""),"",IF(OR(C314="Closed",C314="Resolved"),"-",Setup!$G$2-H314))</f>
        <v/>
      </c>
      <c r="J314" s="32" t="n"/>
      <c r="K314" s="32" t="n"/>
    </row>
    <row r="315" ht="15" customHeight="1" s="36">
      <c r="A315" s="31">
        <f>IF(B315="","","IT-"&amp;Setup!$F$2&amp;TEXT(ROW()-1,"0000"))</f>
        <v/>
      </c>
      <c r="B315" s="32" t="n"/>
      <c r="C315" s="33" t="n"/>
      <c r="D315" s="33" t="n"/>
      <c r="E315" s="32" t="n"/>
      <c r="F315" s="32" t="n"/>
      <c r="G315" s="32" t="n"/>
      <c r="H315" s="34" t="n"/>
      <c r="I315" s="31">
        <f>IF(OR(H315="",B315=""),"",IF(OR(C315="Closed",C315="Resolved"),"-",Setup!$G$2-H315))</f>
        <v/>
      </c>
      <c r="J315" s="32" t="n"/>
      <c r="K315" s="32" t="n"/>
    </row>
    <row r="316" ht="15" customHeight="1" s="36">
      <c r="A316" s="31">
        <f>IF(B316="","","IT-"&amp;Setup!$F$2&amp;TEXT(ROW()-1,"0000"))</f>
        <v/>
      </c>
      <c r="B316" s="32" t="n"/>
      <c r="C316" s="33" t="n"/>
      <c r="D316" s="33" t="n"/>
      <c r="E316" s="32" t="n"/>
      <c r="F316" s="32" t="n"/>
      <c r="G316" s="32" t="n"/>
      <c r="H316" s="34" t="n"/>
      <c r="I316" s="31">
        <f>IF(OR(H316="",B316=""),"",IF(OR(C316="Closed",C316="Resolved"),"-",Setup!$G$2-H316))</f>
        <v/>
      </c>
      <c r="J316" s="32" t="n"/>
      <c r="K316" s="32" t="n"/>
    </row>
    <row r="317" ht="15" customHeight="1" s="36">
      <c r="A317" s="31">
        <f>IF(B317="","","IT-"&amp;Setup!$F$2&amp;TEXT(ROW()-1,"0000"))</f>
        <v/>
      </c>
      <c r="B317" s="32" t="n"/>
      <c r="C317" s="33" t="n"/>
      <c r="D317" s="33" t="n"/>
      <c r="E317" s="32" t="n"/>
      <c r="F317" s="32" t="n"/>
      <c r="G317" s="32" t="n"/>
      <c r="H317" s="34" t="n"/>
      <c r="I317" s="31">
        <f>IF(OR(H317="",B317=""),"",IF(OR(C317="Closed",C317="Resolved"),"-",Setup!$G$2-H317))</f>
        <v/>
      </c>
      <c r="J317" s="32" t="n"/>
      <c r="K317" s="32" t="n"/>
    </row>
    <row r="318" ht="15" customHeight="1" s="36">
      <c r="A318" s="31">
        <f>IF(B318="","","IT-"&amp;Setup!$F$2&amp;TEXT(ROW()-1,"0000"))</f>
        <v/>
      </c>
      <c r="B318" s="32" t="n"/>
      <c r="C318" s="33" t="n"/>
      <c r="D318" s="33" t="n"/>
      <c r="E318" s="32" t="n"/>
      <c r="F318" s="32" t="n"/>
      <c r="G318" s="32" t="n"/>
      <c r="H318" s="34" t="n"/>
      <c r="I318" s="31">
        <f>IF(OR(H318="",B318=""),"",IF(OR(C318="Closed",C318="Resolved"),"-",Setup!$G$2-H318))</f>
        <v/>
      </c>
      <c r="J318" s="32" t="n"/>
      <c r="K318" s="32" t="n"/>
    </row>
    <row r="319" ht="15" customHeight="1" s="36">
      <c r="A319" s="31">
        <f>IF(B319="","","IT-"&amp;Setup!$F$2&amp;TEXT(ROW()-1,"0000"))</f>
        <v/>
      </c>
      <c r="B319" s="32" t="n"/>
      <c r="C319" s="33" t="n"/>
      <c r="D319" s="33" t="n"/>
      <c r="E319" s="32" t="n"/>
      <c r="F319" s="32" t="n"/>
      <c r="G319" s="32" t="n"/>
      <c r="H319" s="34" t="n"/>
      <c r="I319" s="31">
        <f>IF(OR(H319="",B319=""),"",IF(OR(C319="Closed",C319="Resolved"),"-",Setup!$G$2-H319))</f>
        <v/>
      </c>
      <c r="J319" s="32" t="n"/>
      <c r="K319" s="32" t="n"/>
    </row>
    <row r="320" ht="15" customHeight="1" s="36">
      <c r="A320" s="31">
        <f>IF(B320="","","IT-"&amp;Setup!$F$2&amp;TEXT(ROW()-1,"0000"))</f>
        <v/>
      </c>
      <c r="B320" s="32" t="n"/>
      <c r="C320" s="33" t="n"/>
      <c r="D320" s="33" t="n"/>
      <c r="E320" s="32" t="n"/>
      <c r="F320" s="32" t="n"/>
      <c r="G320" s="32" t="n"/>
      <c r="H320" s="34" t="n"/>
      <c r="I320" s="31">
        <f>IF(OR(H320="",B320=""),"",IF(OR(C320="Closed",C320="Resolved"),"-",Setup!$G$2-H320))</f>
        <v/>
      </c>
      <c r="J320" s="32" t="n"/>
      <c r="K320" s="32" t="n"/>
    </row>
    <row r="321" ht="15" customHeight="1" s="36">
      <c r="A321" s="31">
        <f>IF(B321="","","IT-"&amp;Setup!$F$2&amp;TEXT(ROW()-1,"0000"))</f>
        <v/>
      </c>
      <c r="B321" s="32" t="n"/>
      <c r="C321" s="33" t="n"/>
      <c r="D321" s="33" t="n"/>
      <c r="E321" s="32" t="n"/>
      <c r="F321" s="32" t="n"/>
      <c r="G321" s="32" t="n"/>
      <c r="H321" s="34" t="n"/>
      <c r="I321" s="31">
        <f>IF(OR(H321="",B321=""),"",IF(OR(C321="Closed",C321="Resolved"),"-",Setup!$G$2-H321))</f>
        <v/>
      </c>
      <c r="J321" s="32" t="n"/>
      <c r="K321" s="32" t="n"/>
    </row>
    <row r="322" ht="15" customHeight="1" s="36">
      <c r="A322" s="31">
        <f>IF(B322="","","IT-"&amp;Setup!$F$2&amp;TEXT(ROW()-1,"0000"))</f>
        <v/>
      </c>
      <c r="B322" s="32" t="n"/>
      <c r="C322" s="33" t="n"/>
      <c r="D322" s="33" t="n"/>
      <c r="E322" s="32" t="n"/>
      <c r="F322" s="32" t="n"/>
      <c r="G322" s="32" t="n"/>
      <c r="H322" s="34" t="n"/>
      <c r="I322" s="31">
        <f>IF(OR(H322="",B322=""),"",IF(OR(C322="Closed",C322="Resolved"),"-",Setup!$G$2-H322))</f>
        <v/>
      </c>
      <c r="J322" s="32" t="n"/>
      <c r="K322" s="32" t="n"/>
    </row>
    <row r="323" ht="15" customHeight="1" s="36">
      <c r="A323" s="31">
        <f>IF(B323="","","IT-"&amp;Setup!$F$2&amp;TEXT(ROW()-1,"0000"))</f>
        <v/>
      </c>
      <c r="B323" s="32" t="n"/>
      <c r="C323" s="33" t="n"/>
      <c r="D323" s="33" t="n"/>
      <c r="E323" s="32" t="n"/>
      <c r="F323" s="32" t="n"/>
      <c r="G323" s="32" t="n"/>
      <c r="H323" s="34" t="n"/>
      <c r="I323" s="31">
        <f>IF(OR(H323="",B323=""),"",IF(OR(C323="Closed",C323="Resolved"),"-",Setup!$G$2-H323))</f>
        <v/>
      </c>
      <c r="J323" s="32" t="n"/>
      <c r="K323" s="32" t="n"/>
    </row>
    <row r="324" ht="15" customHeight="1" s="36">
      <c r="A324" s="31">
        <f>IF(B324="","","IT-"&amp;Setup!$F$2&amp;TEXT(ROW()-1,"0000"))</f>
        <v/>
      </c>
      <c r="B324" s="32" t="n"/>
      <c r="C324" s="33" t="n"/>
      <c r="D324" s="33" t="n"/>
      <c r="E324" s="32" t="n"/>
      <c r="F324" s="32" t="n"/>
      <c r="G324" s="32" t="n"/>
      <c r="H324" s="34" t="n"/>
      <c r="I324" s="31">
        <f>IF(OR(H324="",B324=""),"",IF(OR(C324="Closed",C324="Resolved"),"-",Setup!$G$2-H324))</f>
        <v/>
      </c>
      <c r="J324" s="32" t="n"/>
      <c r="K324" s="32" t="n"/>
    </row>
    <row r="325" ht="15" customHeight="1" s="36">
      <c r="A325" s="31">
        <f>IF(B325="","","IT-"&amp;Setup!$F$2&amp;TEXT(ROW()-1,"0000"))</f>
        <v/>
      </c>
      <c r="B325" s="32" t="n"/>
      <c r="C325" s="33" t="n"/>
      <c r="D325" s="33" t="n"/>
      <c r="E325" s="32" t="n"/>
      <c r="F325" s="32" t="n"/>
      <c r="G325" s="32" t="n"/>
      <c r="H325" s="34" t="n"/>
      <c r="I325" s="31">
        <f>IF(OR(H325="",B325=""),"",IF(OR(C325="Closed",C325="Resolved"),"-",Setup!$G$2-H325))</f>
        <v/>
      </c>
      <c r="J325" s="32" t="n"/>
      <c r="K325" s="32" t="n"/>
    </row>
    <row r="326" ht="15" customHeight="1" s="36">
      <c r="A326" s="31">
        <f>IF(B326="","","IT-"&amp;Setup!$F$2&amp;TEXT(ROW()-1,"0000"))</f>
        <v/>
      </c>
      <c r="B326" s="32" t="n"/>
      <c r="C326" s="33" t="n"/>
      <c r="D326" s="33" t="n"/>
      <c r="E326" s="32" t="n"/>
      <c r="F326" s="32" t="n"/>
      <c r="G326" s="32" t="n"/>
      <c r="H326" s="34" t="n"/>
      <c r="I326" s="31">
        <f>IF(OR(H326="",B326=""),"",IF(OR(C326="Closed",C326="Resolved"),"-",Setup!$G$2-H326))</f>
        <v/>
      </c>
      <c r="J326" s="32" t="n"/>
      <c r="K326" s="32" t="n"/>
    </row>
    <row r="327" ht="15" customHeight="1" s="36">
      <c r="A327" s="31">
        <f>IF(B327="","","IT-"&amp;Setup!$F$2&amp;TEXT(ROW()-1,"0000"))</f>
        <v/>
      </c>
      <c r="B327" s="32" t="n"/>
      <c r="C327" s="33" t="n"/>
      <c r="D327" s="33" t="n"/>
      <c r="E327" s="32" t="n"/>
      <c r="F327" s="32" t="n"/>
      <c r="G327" s="32" t="n"/>
      <c r="H327" s="34" t="n"/>
      <c r="I327" s="31">
        <f>IF(OR(H327="",B327=""),"",IF(OR(C327="Closed",C327="Resolved"),"-",Setup!$G$2-H327))</f>
        <v/>
      </c>
      <c r="J327" s="32" t="n"/>
      <c r="K327" s="32" t="n"/>
    </row>
    <row r="328" ht="15" customHeight="1" s="36">
      <c r="A328" s="31">
        <f>IF(B328="","","IT-"&amp;Setup!$F$2&amp;TEXT(ROW()-1,"0000"))</f>
        <v/>
      </c>
      <c r="B328" s="32" t="n"/>
      <c r="C328" s="33" t="n"/>
      <c r="D328" s="33" t="n"/>
      <c r="E328" s="32" t="n"/>
      <c r="F328" s="32" t="n"/>
      <c r="G328" s="32" t="n"/>
      <c r="H328" s="34" t="n"/>
      <c r="I328" s="31">
        <f>IF(OR(H328="",B328=""),"",IF(OR(C328="Closed",C328="Resolved"),"-",Setup!$G$2-H328))</f>
        <v/>
      </c>
      <c r="J328" s="32" t="n"/>
      <c r="K328" s="32" t="n"/>
    </row>
    <row r="329" ht="15" customHeight="1" s="36">
      <c r="A329" s="31">
        <f>IF(B329="","","IT-"&amp;Setup!$F$2&amp;TEXT(ROW()-1,"0000"))</f>
        <v/>
      </c>
      <c r="B329" s="32" t="n"/>
      <c r="C329" s="33" t="n"/>
      <c r="D329" s="33" t="n"/>
      <c r="E329" s="32" t="n"/>
      <c r="F329" s="32" t="n"/>
      <c r="G329" s="32" t="n"/>
      <c r="H329" s="34" t="n"/>
      <c r="I329" s="31">
        <f>IF(OR(H329="",B329=""),"",IF(OR(C329="Closed",C329="Resolved"),"-",Setup!$G$2-H329))</f>
        <v/>
      </c>
      <c r="J329" s="32" t="n"/>
      <c r="K329" s="32" t="n"/>
    </row>
    <row r="330" ht="15" customHeight="1" s="36">
      <c r="A330" s="31">
        <f>IF(B330="","","IT-"&amp;Setup!$F$2&amp;TEXT(ROW()-1,"0000"))</f>
        <v/>
      </c>
      <c r="B330" s="32" t="n"/>
      <c r="C330" s="33" t="n"/>
      <c r="D330" s="33" t="n"/>
      <c r="E330" s="32" t="n"/>
      <c r="F330" s="32" t="n"/>
      <c r="G330" s="32" t="n"/>
      <c r="H330" s="34" t="n"/>
      <c r="I330" s="31">
        <f>IF(OR(H330="",B330=""),"",IF(OR(C330="Closed",C330="Resolved"),"-",Setup!$G$2-H330))</f>
        <v/>
      </c>
      <c r="J330" s="32" t="n"/>
      <c r="K330" s="32" t="n"/>
    </row>
    <row r="331" ht="15" customHeight="1" s="36">
      <c r="A331" s="31">
        <f>IF(B331="","","IT-"&amp;Setup!$F$2&amp;TEXT(ROW()-1,"0000"))</f>
        <v/>
      </c>
      <c r="B331" s="32" t="n"/>
      <c r="C331" s="33" t="n"/>
      <c r="D331" s="33" t="n"/>
      <c r="E331" s="32" t="n"/>
      <c r="F331" s="32" t="n"/>
      <c r="G331" s="32" t="n"/>
      <c r="H331" s="34" t="n"/>
      <c r="I331" s="31">
        <f>IF(OR(H331="",B331=""),"",IF(OR(C331="Closed",C331="Resolved"),"-",Setup!$G$2-H331))</f>
        <v/>
      </c>
      <c r="J331" s="32" t="n"/>
      <c r="K331" s="32" t="n"/>
    </row>
    <row r="332" ht="15" customHeight="1" s="36">
      <c r="A332" s="31">
        <f>IF(B332="","","IT-"&amp;Setup!$F$2&amp;TEXT(ROW()-1,"0000"))</f>
        <v/>
      </c>
      <c r="B332" s="32" t="n"/>
      <c r="C332" s="33" t="n"/>
      <c r="D332" s="33" t="n"/>
      <c r="E332" s="32" t="n"/>
      <c r="F332" s="32" t="n"/>
      <c r="G332" s="32" t="n"/>
      <c r="H332" s="34" t="n"/>
      <c r="I332" s="31">
        <f>IF(OR(H332="",B332=""),"",IF(OR(C332="Closed",C332="Resolved"),"-",Setup!$G$2-H332))</f>
        <v/>
      </c>
      <c r="J332" s="32" t="n"/>
      <c r="K332" s="32" t="n"/>
    </row>
    <row r="333" ht="15" customHeight="1" s="36">
      <c r="A333" s="31">
        <f>IF(B333="","","IT-"&amp;Setup!$F$2&amp;TEXT(ROW()-1,"0000"))</f>
        <v/>
      </c>
      <c r="B333" s="32" t="n"/>
      <c r="C333" s="33" t="n"/>
      <c r="D333" s="33" t="n"/>
      <c r="E333" s="32" t="n"/>
      <c r="F333" s="32" t="n"/>
      <c r="G333" s="32" t="n"/>
      <c r="H333" s="34" t="n"/>
      <c r="I333" s="31">
        <f>IF(OR(H333="",B333=""),"",IF(OR(C333="Closed",C333="Resolved"),"-",Setup!$G$2-H333))</f>
        <v/>
      </c>
      <c r="J333" s="32" t="n"/>
      <c r="K333" s="32" t="n"/>
    </row>
    <row r="334" ht="15" customHeight="1" s="36">
      <c r="A334" s="31">
        <f>IF(B334="","","IT-"&amp;Setup!$F$2&amp;TEXT(ROW()-1,"0000"))</f>
        <v/>
      </c>
      <c r="B334" s="32" t="n"/>
      <c r="C334" s="33" t="n"/>
      <c r="D334" s="33" t="n"/>
      <c r="E334" s="32" t="n"/>
      <c r="F334" s="32" t="n"/>
      <c r="G334" s="32" t="n"/>
      <c r="H334" s="34" t="n"/>
      <c r="I334" s="31">
        <f>IF(OR(H334="",B334=""),"",IF(OR(C334="Closed",C334="Resolved"),"-",Setup!$G$2-H334))</f>
        <v/>
      </c>
      <c r="J334" s="32" t="n"/>
      <c r="K334" s="32" t="n"/>
    </row>
    <row r="335" ht="15" customHeight="1" s="36">
      <c r="A335" s="31">
        <f>IF(B335="","","IT-"&amp;Setup!$F$2&amp;TEXT(ROW()-1,"0000"))</f>
        <v/>
      </c>
      <c r="B335" s="32" t="n"/>
      <c r="C335" s="33" t="n"/>
      <c r="D335" s="33" t="n"/>
      <c r="E335" s="32" t="n"/>
      <c r="F335" s="32" t="n"/>
      <c r="G335" s="32" t="n"/>
      <c r="H335" s="34" t="n"/>
      <c r="I335" s="31">
        <f>IF(OR(H335="",B335=""),"",IF(OR(C335="Closed",C335="Resolved"),"-",Setup!$G$2-H335))</f>
        <v/>
      </c>
      <c r="J335" s="32" t="n"/>
      <c r="K335" s="32" t="n"/>
    </row>
    <row r="336" ht="15" customHeight="1" s="36">
      <c r="A336" s="31">
        <f>IF(B336="","","IT-"&amp;Setup!$F$2&amp;TEXT(ROW()-1,"0000"))</f>
        <v/>
      </c>
      <c r="B336" s="32" t="n"/>
      <c r="C336" s="33" t="n"/>
      <c r="D336" s="33" t="n"/>
      <c r="E336" s="32" t="n"/>
      <c r="F336" s="32" t="n"/>
      <c r="G336" s="32" t="n"/>
      <c r="H336" s="34" t="n"/>
      <c r="I336" s="31">
        <f>IF(OR(H336="",B336=""),"",IF(OR(C336="Closed",C336="Resolved"),"-",Setup!$G$2-H336))</f>
        <v/>
      </c>
      <c r="J336" s="32" t="n"/>
      <c r="K336" s="32" t="n"/>
    </row>
    <row r="337" ht="15" customHeight="1" s="36">
      <c r="A337" s="31">
        <f>IF(B337="","","IT-"&amp;Setup!$F$2&amp;TEXT(ROW()-1,"0000"))</f>
        <v/>
      </c>
      <c r="B337" s="32" t="n"/>
      <c r="C337" s="33" t="n"/>
      <c r="D337" s="33" t="n"/>
      <c r="E337" s="32" t="n"/>
      <c r="F337" s="32" t="n"/>
      <c r="G337" s="32" t="n"/>
      <c r="H337" s="34" t="n"/>
      <c r="I337" s="31">
        <f>IF(OR(H337="",B337=""),"",IF(OR(C337="Closed",C337="Resolved"),"-",Setup!$G$2-H337))</f>
        <v/>
      </c>
      <c r="J337" s="32" t="n"/>
      <c r="K337" s="32" t="n"/>
    </row>
    <row r="338" ht="15" customHeight="1" s="36">
      <c r="A338" s="31">
        <f>IF(B338="","","IT-"&amp;Setup!$F$2&amp;TEXT(ROW()-1,"0000"))</f>
        <v/>
      </c>
      <c r="B338" s="32" t="n"/>
      <c r="C338" s="33" t="n"/>
      <c r="D338" s="33" t="n"/>
      <c r="E338" s="32" t="n"/>
      <c r="F338" s="32" t="n"/>
      <c r="G338" s="32" t="n"/>
      <c r="H338" s="34" t="n"/>
      <c r="I338" s="31">
        <f>IF(OR(H338="",B338=""),"",IF(OR(C338="Closed",C338="Resolved"),"-",Setup!$G$2-H338))</f>
        <v/>
      </c>
      <c r="J338" s="32" t="n"/>
      <c r="K338" s="32" t="n"/>
    </row>
    <row r="339" ht="15" customHeight="1" s="36">
      <c r="A339" s="31">
        <f>IF(B339="","","IT-"&amp;Setup!$F$2&amp;TEXT(ROW()-1,"0000"))</f>
        <v/>
      </c>
      <c r="B339" s="32" t="n"/>
      <c r="C339" s="33" t="n"/>
      <c r="D339" s="33" t="n"/>
      <c r="E339" s="32" t="n"/>
      <c r="F339" s="32" t="n"/>
      <c r="G339" s="32" t="n"/>
      <c r="H339" s="34" t="n"/>
      <c r="I339" s="31">
        <f>IF(OR(H339="",B339=""),"",IF(OR(C339="Closed",C339="Resolved"),"-",Setup!$G$2-H339))</f>
        <v/>
      </c>
      <c r="J339" s="32" t="n"/>
      <c r="K339" s="32" t="n"/>
    </row>
    <row r="340" ht="15" customHeight="1" s="36">
      <c r="A340" s="31">
        <f>IF(B340="","","IT-"&amp;Setup!$F$2&amp;TEXT(ROW()-1,"0000"))</f>
        <v/>
      </c>
      <c r="B340" s="32" t="n"/>
      <c r="C340" s="33" t="n"/>
      <c r="D340" s="33" t="n"/>
      <c r="E340" s="32" t="n"/>
      <c r="F340" s="32" t="n"/>
      <c r="G340" s="32" t="n"/>
      <c r="H340" s="34" t="n"/>
      <c r="I340" s="31">
        <f>IF(OR(H340="",B340=""),"",IF(OR(C340="Closed",C340="Resolved"),"-",Setup!$G$2-H340))</f>
        <v/>
      </c>
      <c r="J340" s="32" t="n"/>
      <c r="K340" s="32" t="n"/>
    </row>
    <row r="341" ht="15" customHeight="1" s="36">
      <c r="A341" s="31">
        <f>IF(B341="","","IT-"&amp;Setup!$F$2&amp;TEXT(ROW()-1,"0000"))</f>
        <v/>
      </c>
      <c r="B341" s="32" t="n"/>
      <c r="C341" s="33" t="n"/>
      <c r="D341" s="33" t="n"/>
      <c r="E341" s="32" t="n"/>
      <c r="F341" s="32" t="n"/>
      <c r="G341" s="32" t="n"/>
      <c r="H341" s="34" t="n"/>
      <c r="I341" s="31">
        <f>IF(OR(H341="",B341=""),"",IF(OR(C341="Closed",C341="Resolved"),"-",Setup!$G$2-H341))</f>
        <v/>
      </c>
      <c r="J341" s="32" t="n"/>
      <c r="K341" s="32" t="n"/>
    </row>
    <row r="342" ht="15" customHeight="1" s="36">
      <c r="A342" s="31">
        <f>IF(B342="","","IT-"&amp;Setup!$F$2&amp;TEXT(ROW()-1,"0000"))</f>
        <v/>
      </c>
      <c r="B342" s="32" t="n"/>
      <c r="C342" s="33" t="n"/>
      <c r="D342" s="33" t="n"/>
      <c r="E342" s="32" t="n"/>
      <c r="F342" s="32" t="n"/>
      <c r="G342" s="32" t="n"/>
      <c r="H342" s="34" t="n"/>
      <c r="I342" s="31">
        <f>IF(OR(H342="",B342=""),"",IF(OR(C342="Closed",C342="Resolved"),"-",Setup!$G$2-H342))</f>
        <v/>
      </c>
      <c r="J342" s="32" t="n"/>
      <c r="K342" s="32" t="n"/>
    </row>
    <row r="343" ht="15" customHeight="1" s="36">
      <c r="A343" s="31">
        <f>IF(B343="","","IT-"&amp;Setup!$F$2&amp;TEXT(ROW()-1,"0000"))</f>
        <v/>
      </c>
      <c r="B343" s="32" t="n"/>
      <c r="C343" s="33" t="n"/>
      <c r="D343" s="33" t="n"/>
      <c r="E343" s="32" t="n"/>
      <c r="F343" s="32" t="n"/>
      <c r="G343" s="32" t="n"/>
      <c r="H343" s="34" t="n"/>
      <c r="I343" s="31">
        <f>IF(OR(H343="",B343=""),"",IF(OR(C343="Closed",C343="Resolved"),"-",Setup!$G$2-H343))</f>
        <v/>
      </c>
      <c r="J343" s="32" t="n"/>
      <c r="K343" s="32" t="n"/>
    </row>
    <row r="344" ht="15" customHeight="1" s="36">
      <c r="A344" s="31">
        <f>IF(B344="","","IT-"&amp;Setup!$F$2&amp;TEXT(ROW()-1,"0000"))</f>
        <v/>
      </c>
      <c r="B344" s="32" t="n"/>
      <c r="C344" s="33" t="n"/>
      <c r="D344" s="33" t="n"/>
      <c r="E344" s="32" t="n"/>
      <c r="F344" s="32" t="n"/>
      <c r="G344" s="32" t="n"/>
      <c r="H344" s="34" t="n"/>
      <c r="I344" s="31">
        <f>IF(OR(H344="",B344=""),"",IF(OR(C344="Closed",C344="Resolved"),"-",Setup!$G$2-H344))</f>
        <v/>
      </c>
      <c r="J344" s="32" t="n"/>
      <c r="K344" s="32" t="n"/>
    </row>
    <row r="345" ht="15" customHeight="1" s="36">
      <c r="A345" s="31">
        <f>IF(B345="","","IT-"&amp;Setup!$F$2&amp;TEXT(ROW()-1,"0000"))</f>
        <v/>
      </c>
      <c r="B345" s="32" t="n"/>
      <c r="C345" s="33" t="n"/>
      <c r="D345" s="33" t="n"/>
      <c r="E345" s="32" t="n"/>
      <c r="F345" s="32" t="n"/>
      <c r="G345" s="32" t="n"/>
      <c r="H345" s="34" t="n"/>
      <c r="I345" s="31">
        <f>IF(OR(H345="",B345=""),"",IF(OR(C345="Closed",C345="Resolved"),"-",Setup!$G$2-H345))</f>
        <v/>
      </c>
      <c r="J345" s="32" t="n"/>
      <c r="K345" s="32" t="n"/>
    </row>
    <row r="346" ht="15" customHeight="1" s="36">
      <c r="A346" s="31">
        <f>IF(B346="","","IT-"&amp;Setup!$F$2&amp;TEXT(ROW()-1,"0000"))</f>
        <v/>
      </c>
      <c r="B346" s="32" t="n"/>
      <c r="C346" s="33" t="n"/>
      <c r="D346" s="33" t="n"/>
      <c r="E346" s="32" t="n"/>
      <c r="F346" s="32" t="n"/>
      <c r="G346" s="32" t="n"/>
      <c r="H346" s="34" t="n"/>
      <c r="I346" s="31">
        <f>IF(OR(H346="",B346=""),"",IF(OR(C346="Closed",C346="Resolved"),"-",Setup!$G$2-H346))</f>
        <v/>
      </c>
      <c r="J346" s="32" t="n"/>
      <c r="K346" s="32" t="n"/>
    </row>
    <row r="347" ht="15" customHeight="1" s="36">
      <c r="A347" s="31">
        <f>IF(B347="","","IT-"&amp;Setup!$F$2&amp;TEXT(ROW()-1,"0000"))</f>
        <v/>
      </c>
      <c r="B347" s="32" t="n"/>
      <c r="C347" s="33" t="n"/>
      <c r="D347" s="33" t="n"/>
      <c r="E347" s="32" t="n"/>
      <c r="F347" s="32" t="n"/>
      <c r="G347" s="32" t="n"/>
      <c r="H347" s="34" t="n"/>
      <c r="I347" s="31">
        <f>IF(OR(H347="",B347=""),"",IF(OR(C347="Closed",C347="Resolved"),"-",Setup!$G$2-H347))</f>
        <v/>
      </c>
      <c r="J347" s="32" t="n"/>
      <c r="K347" s="32" t="n"/>
    </row>
    <row r="348" ht="15" customHeight="1" s="36">
      <c r="A348" s="31">
        <f>IF(B348="","","IT-"&amp;Setup!$F$2&amp;TEXT(ROW()-1,"0000"))</f>
        <v/>
      </c>
      <c r="B348" s="32" t="n"/>
      <c r="C348" s="33" t="n"/>
      <c r="D348" s="33" t="n"/>
      <c r="E348" s="32" t="n"/>
      <c r="F348" s="32" t="n"/>
      <c r="G348" s="32" t="n"/>
      <c r="H348" s="34" t="n"/>
      <c r="I348" s="31">
        <f>IF(OR(H348="",B348=""),"",IF(OR(C348="Closed",C348="Resolved"),"-",Setup!$G$2-H348))</f>
        <v/>
      </c>
      <c r="J348" s="32" t="n"/>
      <c r="K348" s="32" t="n"/>
    </row>
    <row r="349" ht="15" customHeight="1" s="36">
      <c r="A349" s="31">
        <f>IF(B349="","","IT-"&amp;Setup!$F$2&amp;TEXT(ROW()-1,"0000"))</f>
        <v/>
      </c>
      <c r="B349" s="32" t="n"/>
      <c r="C349" s="33" t="n"/>
      <c r="D349" s="33" t="n"/>
      <c r="E349" s="32" t="n"/>
      <c r="F349" s="32" t="n"/>
      <c r="G349" s="32" t="n"/>
      <c r="H349" s="34" t="n"/>
      <c r="I349" s="31">
        <f>IF(OR(H349="",B349=""),"",IF(OR(C349="Closed",C349="Resolved"),"-",Setup!$G$2-H349))</f>
        <v/>
      </c>
      <c r="J349" s="32" t="n"/>
      <c r="K349" s="32" t="n"/>
    </row>
    <row r="350" ht="15" customHeight="1" s="36">
      <c r="A350" s="31">
        <f>IF(B350="","","IT-"&amp;Setup!$F$2&amp;TEXT(ROW()-1,"0000"))</f>
        <v/>
      </c>
      <c r="B350" s="32" t="n"/>
      <c r="C350" s="33" t="n"/>
      <c r="D350" s="33" t="n"/>
      <c r="E350" s="32" t="n"/>
      <c r="F350" s="32" t="n"/>
      <c r="G350" s="32" t="n"/>
      <c r="H350" s="34" t="n"/>
      <c r="I350" s="31">
        <f>IF(OR(H350="",B350=""),"",IF(OR(C350="Closed",C350="Resolved"),"-",Setup!$G$2-H350))</f>
        <v/>
      </c>
      <c r="J350" s="32" t="n"/>
      <c r="K350" s="32" t="n"/>
    </row>
    <row r="351" ht="15" customHeight="1" s="36">
      <c r="A351" s="31">
        <f>IF(B351="","","IT-"&amp;Setup!$F$2&amp;TEXT(ROW()-1,"0000"))</f>
        <v/>
      </c>
      <c r="B351" s="32" t="n"/>
      <c r="C351" s="33" t="n"/>
      <c r="D351" s="33" t="n"/>
      <c r="E351" s="32" t="n"/>
      <c r="F351" s="32" t="n"/>
      <c r="G351" s="32" t="n"/>
      <c r="H351" s="34" t="n"/>
      <c r="I351" s="31">
        <f>IF(OR(H351="",B351=""),"",IF(OR(C351="Closed",C351="Resolved"),"-",Setup!$G$2-H351))</f>
        <v/>
      </c>
      <c r="J351" s="32" t="n"/>
      <c r="K351" s="32" t="n"/>
    </row>
    <row r="352" ht="15" customHeight="1" s="36">
      <c r="A352" s="31">
        <f>IF(B352="","","IT-"&amp;Setup!$F$2&amp;TEXT(ROW()-1,"0000"))</f>
        <v/>
      </c>
      <c r="B352" s="32" t="n"/>
      <c r="C352" s="33" t="n"/>
      <c r="D352" s="33" t="n"/>
      <c r="E352" s="32" t="n"/>
      <c r="F352" s="32" t="n"/>
      <c r="G352" s="32" t="n"/>
      <c r="H352" s="34" t="n"/>
      <c r="I352" s="31">
        <f>IF(OR(H352="",B352=""),"",IF(OR(C352="Closed",C352="Resolved"),"-",Setup!$G$2-H352))</f>
        <v/>
      </c>
      <c r="J352" s="32" t="n"/>
      <c r="K352" s="32" t="n"/>
    </row>
    <row r="353" ht="15" customHeight="1" s="36">
      <c r="A353" s="31">
        <f>IF(B353="","","IT-"&amp;Setup!$F$2&amp;TEXT(ROW()-1,"0000"))</f>
        <v/>
      </c>
      <c r="B353" s="32" t="n"/>
      <c r="C353" s="33" t="n"/>
      <c r="D353" s="33" t="n"/>
      <c r="E353" s="32" t="n"/>
      <c r="F353" s="32" t="n"/>
      <c r="G353" s="32" t="n"/>
      <c r="H353" s="34" t="n"/>
      <c r="I353" s="31">
        <f>IF(OR(H353="",B353=""),"",IF(OR(C353="Closed",C353="Resolved"),"-",Setup!$G$2-H353))</f>
        <v/>
      </c>
      <c r="J353" s="32" t="n"/>
      <c r="K353" s="32" t="n"/>
    </row>
    <row r="354" ht="15" customHeight="1" s="36">
      <c r="A354" s="31">
        <f>IF(B354="","","IT-"&amp;Setup!$F$2&amp;TEXT(ROW()-1,"0000"))</f>
        <v/>
      </c>
      <c r="B354" s="32" t="n"/>
      <c r="C354" s="33" t="n"/>
      <c r="D354" s="33" t="n"/>
      <c r="E354" s="32" t="n"/>
      <c r="F354" s="32" t="n"/>
      <c r="G354" s="32" t="n"/>
      <c r="H354" s="34" t="n"/>
      <c r="I354" s="31">
        <f>IF(OR(H354="",B354=""),"",IF(OR(C354="Closed",C354="Resolved"),"-",Setup!$G$2-H354))</f>
        <v/>
      </c>
      <c r="J354" s="32" t="n"/>
      <c r="K354" s="32" t="n"/>
    </row>
    <row r="355" ht="15" customHeight="1" s="36">
      <c r="A355" s="31">
        <f>IF(B355="","","IT-"&amp;Setup!$F$2&amp;TEXT(ROW()-1,"0000"))</f>
        <v/>
      </c>
      <c r="B355" s="32" t="n"/>
      <c r="C355" s="33" t="n"/>
      <c r="D355" s="33" t="n"/>
      <c r="E355" s="32" t="n"/>
      <c r="F355" s="32" t="n"/>
      <c r="G355" s="32" t="n"/>
      <c r="H355" s="34" t="n"/>
      <c r="I355" s="31">
        <f>IF(OR(H355="",B355=""),"",IF(OR(C355="Closed",C355="Resolved"),"-",Setup!$G$2-H355))</f>
        <v/>
      </c>
      <c r="J355" s="32" t="n"/>
      <c r="K355" s="32" t="n"/>
    </row>
    <row r="356" ht="15" customHeight="1" s="36">
      <c r="A356" s="31">
        <f>IF(B356="","","IT-"&amp;Setup!$F$2&amp;TEXT(ROW()-1,"0000"))</f>
        <v/>
      </c>
      <c r="B356" s="32" t="n"/>
      <c r="C356" s="33" t="n"/>
      <c r="D356" s="33" t="n"/>
      <c r="E356" s="32" t="n"/>
      <c r="F356" s="32" t="n"/>
      <c r="G356" s="32" t="n"/>
      <c r="H356" s="34" t="n"/>
      <c r="I356" s="31">
        <f>IF(OR(H356="",B356=""),"",IF(OR(C356="Closed",C356="Resolved"),"-",Setup!$G$2-H356))</f>
        <v/>
      </c>
      <c r="J356" s="32" t="n"/>
      <c r="K356" s="32" t="n"/>
    </row>
    <row r="357" ht="15" customHeight="1" s="36">
      <c r="A357" s="31">
        <f>IF(B357="","","IT-"&amp;Setup!$F$2&amp;TEXT(ROW()-1,"0000"))</f>
        <v/>
      </c>
      <c r="B357" s="32" t="n"/>
      <c r="C357" s="33" t="n"/>
      <c r="D357" s="33" t="n"/>
      <c r="E357" s="32" t="n"/>
      <c r="F357" s="32" t="n"/>
      <c r="G357" s="32" t="n"/>
      <c r="H357" s="34" t="n"/>
      <c r="I357" s="31">
        <f>IF(OR(H357="",B357=""),"",IF(OR(C357="Closed",C357="Resolved"),"-",Setup!$G$2-H357))</f>
        <v/>
      </c>
      <c r="J357" s="32" t="n"/>
      <c r="K357" s="32" t="n"/>
    </row>
    <row r="358" ht="15" customHeight="1" s="36">
      <c r="A358" s="31">
        <f>IF(B358="","","IT-"&amp;Setup!$F$2&amp;TEXT(ROW()-1,"0000"))</f>
        <v/>
      </c>
      <c r="B358" s="32" t="n"/>
      <c r="C358" s="33" t="n"/>
      <c r="D358" s="33" t="n"/>
      <c r="E358" s="32" t="n"/>
      <c r="F358" s="32" t="n"/>
      <c r="G358" s="32" t="n"/>
      <c r="H358" s="34" t="n"/>
      <c r="I358" s="31">
        <f>IF(OR(H358="",B358=""),"",IF(OR(C358="Closed",C358="Resolved"),"-",Setup!$G$2-H358))</f>
        <v/>
      </c>
      <c r="J358" s="32" t="n"/>
      <c r="K358" s="32" t="n"/>
    </row>
    <row r="359" ht="15" customHeight="1" s="36">
      <c r="A359" s="31">
        <f>IF(B359="","","IT-"&amp;Setup!$F$2&amp;TEXT(ROW()-1,"0000"))</f>
        <v/>
      </c>
      <c r="B359" s="32" t="n"/>
      <c r="C359" s="33" t="n"/>
      <c r="D359" s="33" t="n"/>
      <c r="E359" s="32" t="n"/>
      <c r="F359" s="32" t="n"/>
      <c r="G359" s="32" t="n"/>
      <c r="H359" s="34" t="n"/>
      <c r="I359" s="31">
        <f>IF(OR(H359="",B359=""),"",IF(OR(C359="Closed",C359="Resolved"),"-",Setup!$G$2-H359))</f>
        <v/>
      </c>
      <c r="J359" s="32" t="n"/>
      <c r="K359" s="32" t="n"/>
    </row>
    <row r="360" ht="15" customHeight="1" s="36">
      <c r="A360" s="31">
        <f>IF(B360="","","IT-"&amp;Setup!$F$2&amp;TEXT(ROW()-1,"0000"))</f>
        <v/>
      </c>
      <c r="B360" s="32" t="n"/>
      <c r="C360" s="33" t="n"/>
      <c r="D360" s="33" t="n"/>
      <c r="E360" s="32" t="n"/>
      <c r="F360" s="32" t="n"/>
      <c r="G360" s="32" t="n"/>
      <c r="H360" s="34" t="n"/>
      <c r="I360" s="31">
        <f>IF(OR(H360="",B360=""),"",IF(OR(C360="Closed",C360="Resolved"),"-",Setup!$G$2-H360))</f>
        <v/>
      </c>
      <c r="J360" s="32" t="n"/>
      <c r="K360" s="32" t="n"/>
    </row>
    <row r="361" ht="15" customHeight="1" s="36">
      <c r="A361" s="31">
        <f>IF(B361="","","IT-"&amp;Setup!$F$2&amp;TEXT(ROW()-1,"0000"))</f>
        <v/>
      </c>
      <c r="B361" s="32" t="n"/>
      <c r="C361" s="33" t="n"/>
      <c r="D361" s="33" t="n"/>
      <c r="E361" s="32" t="n"/>
      <c r="F361" s="32" t="n"/>
      <c r="G361" s="32" t="n"/>
      <c r="H361" s="34" t="n"/>
      <c r="I361" s="31">
        <f>IF(OR(H361="",B361=""),"",IF(OR(C361="Closed",C361="Resolved"),"-",Setup!$G$2-H361))</f>
        <v/>
      </c>
      <c r="J361" s="32" t="n"/>
      <c r="K361" s="32" t="n"/>
    </row>
    <row r="362" ht="15" customHeight="1" s="36">
      <c r="A362" s="31">
        <f>IF(B362="","","IT-"&amp;Setup!$F$2&amp;TEXT(ROW()-1,"0000"))</f>
        <v/>
      </c>
      <c r="B362" s="32" t="n"/>
      <c r="C362" s="33" t="n"/>
      <c r="D362" s="33" t="n"/>
      <c r="E362" s="32" t="n"/>
      <c r="F362" s="32" t="n"/>
      <c r="G362" s="32" t="n"/>
      <c r="H362" s="34" t="n"/>
      <c r="I362" s="31">
        <f>IF(OR(H362="",B362=""),"",IF(OR(C362="Closed",C362="Resolved"),"-",Setup!$G$2-H362))</f>
        <v/>
      </c>
      <c r="J362" s="32" t="n"/>
      <c r="K362" s="32" t="n"/>
    </row>
    <row r="363" ht="15" customHeight="1" s="36">
      <c r="A363" s="31">
        <f>IF(B363="","","IT-"&amp;Setup!$F$2&amp;TEXT(ROW()-1,"0000"))</f>
        <v/>
      </c>
      <c r="B363" s="32" t="n"/>
      <c r="C363" s="33" t="n"/>
      <c r="D363" s="33" t="n"/>
      <c r="E363" s="32" t="n"/>
      <c r="F363" s="32" t="n"/>
      <c r="G363" s="32" t="n"/>
      <c r="H363" s="34" t="n"/>
      <c r="I363" s="31">
        <f>IF(OR(H363="",B363=""),"",IF(OR(C363="Closed",C363="Resolved"),"-",Setup!$G$2-H363))</f>
        <v/>
      </c>
      <c r="J363" s="32" t="n"/>
      <c r="K363" s="32" t="n"/>
    </row>
    <row r="364" ht="15" customHeight="1" s="36">
      <c r="A364" s="31">
        <f>IF(B364="","","IT-"&amp;Setup!$F$2&amp;TEXT(ROW()-1,"0000"))</f>
        <v/>
      </c>
      <c r="B364" s="32" t="n"/>
      <c r="C364" s="33" t="n"/>
      <c r="D364" s="33" t="n"/>
      <c r="E364" s="32" t="n"/>
      <c r="F364" s="32" t="n"/>
      <c r="G364" s="32" t="n"/>
      <c r="H364" s="34" t="n"/>
      <c r="I364" s="31">
        <f>IF(OR(H364="",B364=""),"",IF(OR(C364="Closed",C364="Resolved"),"-",Setup!$G$2-H364))</f>
        <v/>
      </c>
      <c r="J364" s="32" t="n"/>
      <c r="K364" s="32" t="n"/>
    </row>
    <row r="365" ht="15" customHeight="1" s="36">
      <c r="A365" s="31">
        <f>IF(B365="","","IT-"&amp;Setup!$F$2&amp;TEXT(ROW()-1,"0000"))</f>
        <v/>
      </c>
      <c r="B365" s="32" t="n"/>
      <c r="C365" s="33" t="n"/>
      <c r="D365" s="33" t="n"/>
      <c r="E365" s="32" t="n"/>
      <c r="F365" s="32" t="n"/>
      <c r="G365" s="32" t="n"/>
      <c r="H365" s="34" t="n"/>
      <c r="I365" s="31">
        <f>IF(OR(H365="",B365=""),"",IF(OR(C365="Closed",C365="Resolved"),"-",Setup!$G$2-H365))</f>
        <v/>
      </c>
      <c r="J365" s="32" t="n"/>
      <c r="K365" s="32" t="n"/>
    </row>
    <row r="366" ht="15" customHeight="1" s="36">
      <c r="A366" s="31">
        <f>IF(B366="","","IT-"&amp;Setup!$F$2&amp;TEXT(ROW()-1,"0000"))</f>
        <v/>
      </c>
      <c r="B366" s="32" t="n"/>
      <c r="C366" s="33" t="n"/>
      <c r="D366" s="33" t="n"/>
      <c r="E366" s="32" t="n"/>
      <c r="F366" s="32" t="n"/>
      <c r="G366" s="32" t="n"/>
      <c r="H366" s="34" t="n"/>
      <c r="I366" s="31">
        <f>IF(OR(H366="",B366=""),"",IF(OR(C366="Closed",C366="Resolved"),"-",Setup!$G$2-H366))</f>
        <v/>
      </c>
      <c r="J366" s="32" t="n"/>
      <c r="K366" s="32" t="n"/>
    </row>
    <row r="367" ht="15" customHeight="1" s="36">
      <c r="A367" s="31">
        <f>IF(B367="","","IT-"&amp;Setup!$F$2&amp;TEXT(ROW()-1,"0000"))</f>
        <v/>
      </c>
      <c r="B367" s="32" t="n"/>
      <c r="C367" s="33" t="n"/>
      <c r="D367" s="33" t="n"/>
      <c r="E367" s="32" t="n"/>
      <c r="F367" s="32" t="n"/>
      <c r="G367" s="32" t="n"/>
      <c r="H367" s="34" t="n"/>
      <c r="I367" s="31">
        <f>IF(OR(H367="",B367=""),"",IF(OR(C367="Closed",C367="Resolved"),"-",Setup!$G$2-H367))</f>
        <v/>
      </c>
      <c r="J367" s="32" t="n"/>
      <c r="K367" s="32" t="n"/>
    </row>
    <row r="368" ht="15" customHeight="1" s="36">
      <c r="A368" s="31">
        <f>IF(B368="","","IT-"&amp;Setup!$F$2&amp;TEXT(ROW()-1,"0000"))</f>
        <v/>
      </c>
      <c r="B368" s="32" t="n"/>
      <c r="C368" s="33" t="n"/>
      <c r="D368" s="33" t="n"/>
      <c r="E368" s="32" t="n"/>
      <c r="F368" s="32" t="n"/>
      <c r="G368" s="32" t="n"/>
      <c r="H368" s="34" t="n"/>
      <c r="I368" s="31">
        <f>IF(OR(H368="",B368=""),"",IF(OR(C368="Closed",C368="Resolved"),"-",Setup!$G$2-H368))</f>
        <v/>
      </c>
      <c r="J368" s="32" t="n"/>
      <c r="K368" s="32" t="n"/>
    </row>
    <row r="369" ht="15" customHeight="1" s="36">
      <c r="A369" s="31">
        <f>IF(B369="","","IT-"&amp;Setup!$F$2&amp;TEXT(ROW()-1,"0000"))</f>
        <v/>
      </c>
      <c r="B369" s="32" t="n"/>
      <c r="C369" s="33" t="n"/>
      <c r="D369" s="33" t="n"/>
      <c r="E369" s="32" t="n"/>
      <c r="F369" s="32" t="n"/>
      <c r="G369" s="32" t="n"/>
      <c r="H369" s="34" t="n"/>
      <c r="I369" s="31">
        <f>IF(OR(H369="",B369=""),"",IF(OR(C369="Closed",C369="Resolved"),"-",Setup!$G$2-H369))</f>
        <v/>
      </c>
      <c r="J369" s="32" t="n"/>
      <c r="K369" s="32" t="n"/>
    </row>
    <row r="370" ht="15" customHeight="1" s="36">
      <c r="A370" s="31">
        <f>IF(B370="","","IT-"&amp;Setup!$F$2&amp;TEXT(ROW()-1,"0000"))</f>
        <v/>
      </c>
      <c r="B370" s="32" t="n"/>
      <c r="C370" s="33" t="n"/>
      <c r="D370" s="33" t="n"/>
      <c r="E370" s="32" t="n"/>
      <c r="F370" s="32" t="n"/>
      <c r="G370" s="32" t="n"/>
      <c r="H370" s="34" t="n"/>
      <c r="I370" s="31">
        <f>IF(OR(H370="",B370=""),"",IF(OR(C370="Closed",C370="Resolved"),"-",Setup!$G$2-H370))</f>
        <v/>
      </c>
      <c r="J370" s="32" t="n"/>
      <c r="K370" s="32" t="n"/>
    </row>
    <row r="371" ht="15" customHeight="1" s="36">
      <c r="A371" s="31">
        <f>IF(B371="","","IT-"&amp;Setup!$F$2&amp;TEXT(ROW()-1,"0000"))</f>
        <v/>
      </c>
      <c r="B371" s="32" t="n"/>
      <c r="C371" s="33" t="n"/>
      <c r="D371" s="33" t="n"/>
      <c r="E371" s="32" t="n"/>
      <c r="F371" s="32" t="n"/>
      <c r="G371" s="32" t="n"/>
      <c r="H371" s="34" t="n"/>
      <c r="I371" s="31">
        <f>IF(OR(H371="",B371=""),"",IF(OR(C371="Closed",C371="Resolved"),"-",Setup!$G$2-H371))</f>
        <v/>
      </c>
      <c r="J371" s="32" t="n"/>
      <c r="K371" s="32" t="n"/>
    </row>
    <row r="372" ht="15" customHeight="1" s="36">
      <c r="A372" s="31">
        <f>IF(B372="","","IT-"&amp;Setup!$F$2&amp;TEXT(ROW()-1,"0000"))</f>
        <v/>
      </c>
      <c r="B372" s="32" t="n"/>
      <c r="C372" s="33" t="n"/>
      <c r="D372" s="33" t="n"/>
      <c r="E372" s="32" t="n"/>
      <c r="F372" s="32" t="n"/>
      <c r="G372" s="32" t="n"/>
      <c r="H372" s="34" t="n"/>
      <c r="I372" s="31">
        <f>IF(OR(H372="",B372=""),"",IF(OR(C372="Closed",C372="Resolved"),"-",Setup!$G$2-H372))</f>
        <v/>
      </c>
      <c r="J372" s="32" t="n"/>
      <c r="K372" s="32" t="n"/>
    </row>
    <row r="373" ht="15" customHeight="1" s="36">
      <c r="A373" s="31">
        <f>IF(B373="","","IT-"&amp;Setup!$F$2&amp;TEXT(ROW()-1,"0000"))</f>
        <v/>
      </c>
      <c r="B373" s="32" t="n"/>
      <c r="C373" s="33" t="n"/>
      <c r="D373" s="33" t="n"/>
      <c r="E373" s="32" t="n"/>
      <c r="F373" s="32" t="n"/>
      <c r="G373" s="32" t="n"/>
      <c r="H373" s="34" t="n"/>
      <c r="I373" s="31">
        <f>IF(OR(H373="",B373=""),"",IF(OR(C373="Closed",C373="Resolved"),"-",Setup!$G$2-H373))</f>
        <v/>
      </c>
      <c r="J373" s="32" t="n"/>
      <c r="K373" s="32" t="n"/>
    </row>
    <row r="374" ht="15" customHeight="1" s="36">
      <c r="A374" s="31">
        <f>IF(B374="","","IT-"&amp;Setup!$F$2&amp;TEXT(ROW()-1,"0000"))</f>
        <v/>
      </c>
      <c r="B374" s="32" t="n"/>
      <c r="C374" s="33" t="n"/>
      <c r="D374" s="33" t="n"/>
      <c r="E374" s="32" t="n"/>
      <c r="F374" s="32" t="n"/>
      <c r="G374" s="32" t="n"/>
      <c r="H374" s="34" t="n"/>
      <c r="I374" s="31">
        <f>IF(OR(H374="",B374=""),"",IF(OR(C374="Closed",C374="Resolved"),"-",Setup!$G$2-H374))</f>
        <v/>
      </c>
      <c r="J374" s="32" t="n"/>
      <c r="K374" s="32" t="n"/>
    </row>
    <row r="375" ht="15" customHeight="1" s="36">
      <c r="A375" s="31">
        <f>IF(B375="","","IT-"&amp;Setup!$F$2&amp;TEXT(ROW()-1,"0000"))</f>
        <v/>
      </c>
      <c r="B375" s="32" t="n"/>
      <c r="C375" s="33" t="n"/>
      <c r="D375" s="33" t="n"/>
      <c r="E375" s="32" t="n"/>
      <c r="F375" s="32" t="n"/>
      <c r="G375" s="32" t="n"/>
      <c r="H375" s="34" t="n"/>
      <c r="I375" s="31">
        <f>IF(OR(H375="",B375=""),"",IF(OR(C375="Closed",C375="Resolved"),"-",Setup!$G$2-H375))</f>
        <v/>
      </c>
      <c r="J375" s="32" t="n"/>
      <c r="K375" s="32" t="n"/>
    </row>
    <row r="376" ht="15" customHeight="1" s="36">
      <c r="A376" s="31">
        <f>IF(B376="","","IT-"&amp;Setup!$F$2&amp;TEXT(ROW()-1,"0000"))</f>
        <v/>
      </c>
      <c r="B376" s="32" t="n"/>
      <c r="C376" s="33" t="n"/>
      <c r="D376" s="33" t="n"/>
      <c r="E376" s="32" t="n"/>
      <c r="F376" s="32" t="n"/>
      <c r="G376" s="32" t="n"/>
      <c r="H376" s="34" t="n"/>
      <c r="I376" s="31">
        <f>IF(OR(H376="",B376=""),"",IF(OR(C376="Closed",C376="Resolved"),"-",Setup!$G$2-H376))</f>
        <v/>
      </c>
      <c r="J376" s="32" t="n"/>
      <c r="K376" s="32" t="n"/>
    </row>
    <row r="377" ht="15" customHeight="1" s="36">
      <c r="A377" s="31">
        <f>IF(B377="","","IT-"&amp;Setup!$F$2&amp;TEXT(ROW()-1,"0000"))</f>
        <v/>
      </c>
      <c r="B377" s="32" t="n"/>
      <c r="C377" s="33" t="n"/>
      <c r="D377" s="33" t="n"/>
      <c r="E377" s="32" t="n"/>
      <c r="F377" s="32" t="n"/>
      <c r="G377" s="32" t="n"/>
      <c r="H377" s="34" t="n"/>
      <c r="I377" s="31">
        <f>IF(OR(H377="",B377=""),"",IF(OR(C377="Closed",C377="Resolved"),"-",Setup!$G$2-H377))</f>
        <v/>
      </c>
      <c r="J377" s="32" t="n"/>
      <c r="K377" s="32" t="n"/>
    </row>
    <row r="378" ht="15" customHeight="1" s="36">
      <c r="A378" s="31">
        <f>IF(B378="","","IT-"&amp;Setup!$F$2&amp;TEXT(ROW()-1,"0000"))</f>
        <v/>
      </c>
      <c r="B378" s="32" t="n"/>
      <c r="C378" s="33" t="n"/>
      <c r="D378" s="33" t="n"/>
      <c r="E378" s="32" t="n"/>
      <c r="F378" s="32" t="n"/>
      <c r="G378" s="32" t="n"/>
      <c r="H378" s="34" t="n"/>
      <c r="I378" s="31">
        <f>IF(OR(H378="",B378=""),"",IF(OR(C378="Closed",C378="Resolved"),"-",Setup!$G$2-H378))</f>
        <v/>
      </c>
      <c r="J378" s="32" t="n"/>
      <c r="K378" s="32" t="n"/>
    </row>
    <row r="379" ht="15" customHeight="1" s="36">
      <c r="A379" s="31">
        <f>IF(B379="","","IT-"&amp;Setup!$F$2&amp;TEXT(ROW()-1,"0000"))</f>
        <v/>
      </c>
      <c r="B379" s="32" t="n"/>
      <c r="C379" s="33" t="n"/>
      <c r="D379" s="33" t="n"/>
      <c r="E379" s="32" t="n"/>
      <c r="F379" s="32" t="n"/>
      <c r="G379" s="32" t="n"/>
      <c r="H379" s="34" t="n"/>
      <c r="I379" s="31">
        <f>IF(OR(H379="",B379=""),"",IF(OR(C379="Closed",C379="Resolved"),"-",Setup!$G$2-H379))</f>
        <v/>
      </c>
      <c r="J379" s="32" t="n"/>
      <c r="K379" s="32" t="n"/>
    </row>
    <row r="380" ht="15" customHeight="1" s="36">
      <c r="A380" s="31">
        <f>IF(B380="","","IT-"&amp;Setup!$F$2&amp;TEXT(ROW()-1,"0000"))</f>
        <v/>
      </c>
      <c r="B380" s="32" t="n"/>
      <c r="C380" s="33" t="n"/>
      <c r="D380" s="33" t="n"/>
      <c r="E380" s="32" t="n"/>
      <c r="F380" s="32" t="n"/>
      <c r="G380" s="32" t="n"/>
      <c r="H380" s="34" t="n"/>
      <c r="I380" s="31">
        <f>IF(OR(H380="",B380=""),"",IF(OR(C380="Closed",C380="Resolved"),"-",Setup!$G$2-H380))</f>
        <v/>
      </c>
      <c r="J380" s="32" t="n"/>
      <c r="K380" s="32" t="n"/>
    </row>
    <row r="381" ht="15" customHeight="1" s="36">
      <c r="A381" s="31">
        <f>IF(B381="","","IT-"&amp;Setup!$F$2&amp;TEXT(ROW()-1,"0000"))</f>
        <v/>
      </c>
      <c r="B381" s="32" t="n"/>
      <c r="C381" s="33" t="n"/>
      <c r="D381" s="33" t="n"/>
      <c r="E381" s="32" t="n"/>
      <c r="F381" s="32" t="n"/>
      <c r="G381" s="32" t="n"/>
      <c r="H381" s="34" t="n"/>
      <c r="I381" s="31">
        <f>IF(OR(H381="",B381=""),"",IF(OR(C381="Closed",C381="Resolved"),"-",Setup!$G$2-H381))</f>
        <v/>
      </c>
      <c r="J381" s="32" t="n"/>
      <c r="K381" s="32" t="n"/>
    </row>
    <row r="382" ht="15" customHeight="1" s="36">
      <c r="A382" s="31">
        <f>IF(B382="","","IT-"&amp;Setup!$F$2&amp;TEXT(ROW()-1,"0000"))</f>
        <v/>
      </c>
      <c r="B382" s="32" t="n"/>
      <c r="C382" s="33" t="n"/>
      <c r="D382" s="33" t="n"/>
      <c r="E382" s="32" t="n"/>
      <c r="F382" s="32" t="n"/>
      <c r="G382" s="32" t="n"/>
      <c r="H382" s="34" t="n"/>
      <c r="I382" s="31">
        <f>IF(OR(H382="",B382=""),"",IF(OR(C382="Closed",C382="Resolved"),"-",Setup!$G$2-H382))</f>
        <v/>
      </c>
      <c r="J382" s="32" t="n"/>
      <c r="K382" s="32" t="n"/>
    </row>
    <row r="383" ht="15" customHeight="1" s="36">
      <c r="A383" s="31">
        <f>IF(B383="","","IT-"&amp;Setup!$F$2&amp;TEXT(ROW()-1,"0000"))</f>
        <v/>
      </c>
      <c r="B383" s="32" t="n"/>
      <c r="C383" s="33" t="n"/>
      <c r="D383" s="33" t="n"/>
      <c r="E383" s="32" t="n"/>
      <c r="F383" s="32" t="n"/>
      <c r="G383" s="32" t="n"/>
      <c r="H383" s="34" t="n"/>
      <c r="I383" s="31">
        <f>IF(OR(H383="",B383=""),"",IF(OR(C383="Closed",C383="Resolved"),"-",Setup!$G$2-H383))</f>
        <v/>
      </c>
      <c r="J383" s="32" t="n"/>
      <c r="K383" s="32" t="n"/>
    </row>
    <row r="384" ht="15" customHeight="1" s="36">
      <c r="A384" s="31">
        <f>IF(B384="","","IT-"&amp;Setup!$F$2&amp;TEXT(ROW()-1,"0000"))</f>
        <v/>
      </c>
      <c r="B384" s="32" t="n"/>
      <c r="C384" s="33" t="n"/>
      <c r="D384" s="33" t="n"/>
      <c r="E384" s="32" t="n"/>
      <c r="F384" s="32" t="n"/>
      <c r="G384" s="32" t="n"/>
      <c r="H384" s="34" t="n"/>
      <c r="I384" s="31">
        <f>IF(OR(H384="",B384=""),"",IF(OR(C384="Closed",C384="Resolved"),"-",Setup!$G$2-H384))</f>
        <v/>
      </c>
      <c r="J384" s="32" t="n"/>
      <c r="K384" s="32" t="n"/>
    </row>
    <row r="385" ht="15" customHeight="1" s="36">
      <c r="A385" s="31">
        <f>IF(B385="","","IT-"&amp;Setup!$F$2&amp;TEXT(ROW()-1,"0000"))</f>
        <v/>
      </c>
      <c r="B385" s="32" t="n"/>
      <c r="C385" s="33" t="n"/>
      <c r="D385" s="33" t="n"/>
      <c r="E385" s="32" t="n"/>
      <c r="F385" s="32" t="n"/>
      <c r="G385" s="32" t="n"/>
      <c r="H385" s="34" t="n"/>
      <c r="I385" s="31">
        <f>IF(OR(H385="",B385=""),"",IF(OR(C385="Closed",C385="Resolved"),"-",Setup!$G$2-H385))</f>
        <v/>
      </c>
      <c r="J385" s="32" t="n"/>
      <c r="K385" s="32" t="n"/>
    </row>
    <row r="386" ht="15" customHeight="1" s="36">
      <c r="A386" s="31">
        <f>IF(B386="","","IT-"&amp;Setup!$F$2&amp;TEXT(ROW()-1,"0000"))</f>
        <v/>
      </c>
      <c r="B386" s="32" t="n"/>
      <c r="C386" s="33" t="n"/>
      <c r="D386" s="33" t="n"/>
      <c r="E386" s="32" t="n"/>
      <c r="F386" s="32" t="n"/>
      <c r="G386" s="32" t="n"/>
      <c r="H386" s="34" t="n"/>
      <c r="I386" s="31">
        <f>IF(OR(H386="",B386=""),"",IF(OR(C386="Closed",C386="Resolved"),"-",Setup!$G$2-H386))</f>
        <v/>
      </c>
      <c r="J386" s="32" t="n"/>
      <c r="K386" s="32" t="n"/>
    </row>
    <row r="387" ht="15" customHeight="1" s="36">
      <c r="A387" s="31">
        <f>IF(B387="","","IT-"&amp;Setup!$F$2&amp;TEXT(ROW()-1,"0000"))</f>
        <v/>
      </c>
      <c r="B387" s="32" t="n"/>
      <c r="C387" s="33" t="n"/>
      <c r="D387" s="33" t="n"/>
      <c r="E387" s="32" t="n"/>
      <c r="F387" s="32" t="n"/>
      <c r="G387" s="32" t="n"/>
      <c r="H387" s="34" t="n"/>
      <c r="I387" s="31">
        <f>IF(OR(H387="",B387=""),"",IF(OR(C387="Closed",C387="Resolved"),"-",Setup!$G$2-H387))</f>
        <v/>
      </c>
      <c r="J387" s="32" t="n"/>
      <c r="K387" s="32" t="n"/>
    </row>
    <row r="388" ht="15" customHeight="1" s="36">
      <c r="A388" s="31">
        <f>IF(B388="","","IT-"&amp;Setup!$F$2&amp;TEXT(ROW()-1,"0000"))</f>
        <v/>
      </c>
      <c r="B388" s="32" t="n"/>
      <c r="C388" s="33" t="n"/>
      <c r="D388" s="33" t="n"/>
      <c r="E388" s="32" t="n"/>
      <c r="F388" s="32" t="n"/>
      <c r="G388" s="32" t="n"/>
      <c r="H388" s="34" t="n"/>
      <c r="I388" s="31">
        <f>IF(OR(H388="",B388=""),"",IF(OR(C388="Closed",C388="Resolved"),"-",Setup!$G$2-H388))</f>
        <v/>
      </c>
      <c r="J388" s="32" t="n"/>
      <c r="K388" s="32" t="n"/>
    </row>
    <row r="389" ht="15" customHeight="1" s="36">
      <c r="A389" s="31">
        <f>IF(B389="","","IT-"&amp;Setup!$F$2&amp;TEXT(ROW()-1,"0000"))</f>
        <v/>
      </c>
      <c r="B389" s="32" t="n"/>
      <c r="C389" s="33" t="n"/>
      <c r="D389" s="33" t="n"/>
      <c r="E389" s="32" t="n"/>
      <c r="F389" s="32" t="n"/>
      <c r="G389" s="32" t="n"/>
      <c r="H389" s="34" t="n"/>
      <c r="I389" s="31">
        <f>IF(OR(H389="",B389=""),"",IF(OR(C389="Closed",C389="Resolved"),"-",Setup!$G$2-H389))</f>
        <v/>
      </c>
      <c r="J389" s="32" t="n"/>
      <c r="K389" s="32" t="n"/>
    </row>
    <row r="390" ht="15" customHeight="1" s="36">
      <c r="A390" s="31">
        <f>IF(B390="","","IT-"&amp;Setup!$F$2&amp;TEXT(ROW()-1,"0000"))</f>
        <v/>
      </c>
      <c r="B390" s="32" t="n"/>
      <c r="C390" s="33" t="n"/>
      <c r="D390" s="33" t="n"/>
      <c r="E390" s="32" t="n"/>
      <c r="F390" s="32" t="n"/>
      <c r="G390" s="32" t="n"/>
      <c r="H390" s="34" t="n"/>
      <c r="I390" s="31">
        <f>IF(OR(H390="",B390=""),"",IF(OR(C390="Closed",C390="Resolved"),"-",Setup!$G$2-H390))</f>
        <v/>
      </c>
      <c r="J390" s="32" t="n"/>
      <c r="K390" s="32" t="n"/>
    </row>
    <row r="391" ht="15" customHeight="1" s="36">
      <c r="A391" s="31">
        <f>IF(B391="","","IT-"&amp;Setup!$F$2&amp;TEXT(ROW()-1,"0000"))</f>
        <v/>
      </c>
      <c r="B391" s="32" t="n"/>
      <c r="C391" s="33" t="n"/>
      <c r="D391" s="33" t="n"/>
      <c r="E391" s="32" t="n"/>
      <c r="F391" s="32" t="n"/>
      <c r="G391" s="32" t="n"/>
      <c r="H391" s="34" t="n"/>
      <c r="I391" s="31">
        <f>IF(OR(H391="",B391=""),"",IF(OR(C391="Closed",C391="Resolved"),"-",Setup!$G$2-H391))</f>
        <v/>
      </c>
      <c r="J391" s="32" t="n"/>
      <c r="K391" s="32" t="n"/>
    </row>
    <row r="392" ht="15" customHeight="1" s="36">
      <c r="A392" s="31">
        <f>IF(B392="","","IT-"&amp;Setup!$F$2&amp;TEXT(ROW()-1,"0000"))</f>
        <v/>
      </c>
      <c r="B392" s="32" t="n"/>
      <c r="C392" s="33" t="n"/>
      <c r="D392" s="33" t="n"/>
      <c r="E392" s="32" t="n"/>
      <c r="F392" s="32" t="n"/>
      <c r="G392" s="32" t="n"/>
      <c r="H392" s="34" t="n"/>
      <c r="I392" s="31">
        <f>IF(OR(H392="",B392=""),"",IF(OR(C392="Closed",C392="Resolved"),"-",Setup!$G$2-H392))</f>
        <v/>
      </c>
      <c r="J392" s="32" t="n"/>
      <c r="K392" s="32" t="n"/>
    </row>
    <row r="393" ht="15" customHeight="1" s="36">
      <c r="A393" s="31">
        <f>IF(B393="","","IT-"&amp;Setup!$F$2&amp;TEXT(ROW()-1,"0000"))</f>
        <v/>
      </c>
      <c r="B393" s="32" t="n"/>
      <c r="C393" s="33" t="n"/>
      <c r="D393" s="33" t="n"/>
      <c r="E393" s="32" t="n"/>
      <c r="F393" s="32" t="n"/>
      <c r="G393" s="32" t="n"/>
      <c r="H393" s="34" t="n"/>
      <c r="I393" s="31">
        <f>IF(OR(H393="",B393=""),"",IF(OR(C393="Closed",C393="Resolved"),"-",Setup!$G$2-H393))</f>
        <v/>
      </c>
      <c r="J393" s="32" t="n"/>
      <c r="K393" s="32" t="n"/>
    </row>
    <row r="394" ht="15" customHeight="1" s="36">
      <c r="A394" s="31">
        <f>IF(B394="","","IT-"&amp;Setup!$F$2&amp;TEXT(ROW()-1,"0000"))</f>
        <v/>
      </c>
      <c r="B394" s="32" t="n"/>
      <c r="C394" s="33" t="n"/>
      <c r="D394" s="33" t="n"/>
      <c r="E394" s="32" t="n"/>
      <c r="F394" s="32" t="n"/>
      <c r="G394" s="32" t="n"/>
      <c r="H394" s="34" t="n"/>
      <c r="I394" s="31">
        <f>IF(OR(H394="",B394=""),"",IF(OR(C394="Closed",C394="Resolved"),"-",Setup!$G$2-H394))</f>
        <v/>
      </c>
      <c r="J394" s="32" t="n"/>
      <c r="K394" s="32" t="n"/>
    </row>
    <row r="395" ht="15" customHeight="1" s="36">
      <c r="A395" s="31">
        <f>IF(B395="","","IT-"&amp;Setup!$F$2&amp;TEXT(ROW()-1,"0000"))</f>
        <v/>
      </c>
      <c r="B395" s="32" t="n"/>
      <c r="C395" s="33" t="n"/>
      <c r="D395" s="33" t="n"/>
      <c r="E395" s="32" t="n"/>
      <c r="F395" s="32" t="n"/>
      <c r="G395" s="32" t="n"/>
      <c r="H395" s="34" t="n"/>
      <c r="I395" s="31">
        <f>IF(OR(H395="",B395=""),"",IF(OR(C395="Closed",C395="Resolved"),"-",Setup!$G$2-H395))</f>
        <v/>
      </c>
      <c r="J395" s="32" t="n"/>
      <c r="K395" s="32" t="n"/>
    </row>
    <row r="396" ht="15" customHeight="1" s="36">
      <c r="A396" s="31">
        <f>IF(B396="","","IT-"&amp;Setup!$F$2&amp;TEXT(ROW()-1,"0000"))</f>
        <v/>
      </c>
      <c r="B396" s="32" t="n"/>
      <c r="C396" s="33" t="n"/>
      <c r="D396" s="33" t="n"/>
      <c r="E396" s="32" t="n"/>
      <c r="F396" s="32" t="n"/>
      <c r="G396" s="32" t="n"/>
      <c r="H396" s="34" t="n"/>
      <c r="I396" s="31">
        <f>IF(OR(H396="",B396=""),"",IF(OR(C396="Closed",C396="Resolved"),"-",Setup!$G$2-H396))</f>
        <v/>
      </c>
      <c r="J396" s="32" t="n"/>
      <c r="K396" s="32" t="n"/>
    </row>
    <row r="397" ht="15" customHeight="1" s="36">
      <c r="A397" s="31">
        <f>IF(B397="","","IT-"&amp;Setup!$F$2&amp;TEXT(ROW()-1,"0000"))</f>
        <v/>
      </c>
      <c r="B397" s="32" t="n"/>
      <c r="C397" s="33" t="n"/>
      <c r="D397" s="33" t="n"/>
      <c r="E397" s="32" t="n"/>
      <c r="F397" s="32" t="n"/>
      <c r="G397" s="32" t="n"/>
      <c r="H397" s="34" t="n"/>
      <c r="I397" s="31">
        <f>IF(OR(H397="",B397=""),"",IF(OR(C397="Closed",C397="Resolved"),"-",Setup!$G$2-H397))</f>
        <v/>
      </c>
      <c r="J397" s="32" t="n"/>
      <c r="K397" s="32" t="n"/>
    </row>
    <row r="398" ht="15" customHeight="1" s="36">
      <c r="A398" s="31">
        <f>IF(B398="","","IT-"&amp;Setup!$F$2&amp;TEXT(ROW()-1,"0000"))</f>
        <v/>
      </c>
      <c r="B398" s="32" t="n"/>
      <c r="C398" s="33" t="n"/>
      <c r="D398" s="33" t="n"/>
      <c r="E398" s="32" t="n"/>
      <c r="F398" s="32" t="n"/>
      <c r="G398" s="32" t="n"/>
      <c r="H398" s="34" t="n"/>
      <c r="I398" s="31">
        <f>IF(OR(H398="",B398=""),"",IF(OR(C398="Closed",C398="Resolved"),"-",Setup!$G$2-H398))</f>
        <v/>
      </c>
      <c r="J398" s="32" t="n"/>
      <c r="K398" s="32" t="n"/>
    </row>
    <row r="399" ht="15" customHeight="1" s="36">
      <c r="A399" s="31">
        <f>IF(B399="","","IT-"&amp;Setup!$F$2&amp;TEXT(ROW()-1,"0000"))</f>
        <v/>
      </c>
      <c r="B399" s="32" t="n"/>
      <c r="C399" s="33" t="n"/>
      <c r="D399" s="33" t="n"/>
      <c r="E399" s="32" t="n"/>
      <c r="F399" s="32" t="n"/>
      <c r="G399" s="32" t="n"/>
      <c r="H399" s="34" t="n"/>
      <c r="I399" s="31">
        <f>IF(OR(H399="",B399=""),"",IF(OR(C399="Closed",C399="Resolved"),"-",Setup!$G$2-H399))</f>
        <v/>
      </c>
      <c r="J399" s="32" t="n"/>
      <c r="K399" s="32" t="n"/>
    </row>
    <row r="400" ht="15" customHeight="1" s="36">
      <c r="A400" s="31">
        <f>IF(B400="","","IT-"&amp;Setup!$F$2&amp;TEXT(ROW()-1,"0000"))</f>
        <v/>
      </c>
      <c r="B400" s="32" t="n"/>
      <c r="C400" s="33" t="n"/>
      <c r="D400" s="33" t="n"/>
      <c r="E400" s="32" t="n"/>
      <c r="F400" s="32" t="n"/>
      <c r="G400" s="32" t="n"/>
      <c r="H400" s="34" t="n"/>
      <c r="I400" s="31">
        <f>IF(OR(H400="",B400=""),"",IF(OR(C400="Closed",C400="Resolved"),"-",Setup!$G$2-H400))</f>
        <v/>
      </c>
      <c r="J400" s="32" t="n"/>
      <c r="K400" s="32" t="n"/>
    </row>
    <row r="401" ht="15" customHeight="1" s="36">
      <c r="A401" s="31">
        <f>IF(B401="","","IT-"&amp;Setup!$F$2&amp;TEXT(ROW()-1,"0000"))</f>
        <v/>
      </c>
      <c r="B401" s="32" t="n"/>
      <c r="C401" s="33" t="n"/>
      <c r="D401" s="33" t="n"/>
      <c r="E401" s="32" t="n"/>
      <c r="F401" s="32" t="n"/>
      <c r="G401" s="32" t="n"/>
      <c r="H401" s="34" t="n"/>
      <c r="I401" s="31">
        <f>IF(OR(H401="",B401=""),"",IF(OR(C401="Closed",C401="Resolved"),"-",Setup!$G$2-H401))</f>
        <v/>
      </c>
      <c r="J401" s="32" t="n"/>
      <c r="K401" s="32" t="n"/>
    </row>
    <row r="402" ht="15" customHeight="1" s="36">
      <c r="A402" s="31">
        <f>IF(B402="","","IT-"&amp;Setup!$F$2&amp;TEXT(ROW()-1,"0000"))</f>
        <v/>
      </c>
      <c r="B402" s="32" t="n"/>
      <c r="C402" s="33" t="n"/>
      <c r="D402" s="33" t="n"/>
      <c r="E402" s="32" t="n"/>
      <c r="F402" s="32" t="n"/>
      <c r="G402" s="32" t="n"/>
      <c r="H402" s="34" t="n"/>
      <c r="I402" s="31">
        <f>IF(OR(H402="",B402=""),"",IF(OR(C402="Closed",C402="Resolved"),"-",Setup!$G$2-H402))</f>
        <v/>
      </c>
      <c r="J402" s="32" t="n"/>
      <c r="K402" s="32" t="n"/>
    </row>
    <row r="403" ht="15" customHeight="1" s="36">
      <c r="A403" s="31">
        <f>IF(B403="","","IT-"&amp;Setup!$F$2&amp;TEXT(ROW()-1,"0000"))</f>
        <v/>
      </c>
      <c r="B403" s="32" t="n"/>
      <c r="C403" s="33" t="n"/>
      <c r="D403" s="33" t="n"/>
      <c r="E403" s="32" t="n"/>
      <c r="F403" s="32" t="n"/>
      <c r="G403" s="32" t="n"/>
      <c r="H403" s="34" t="n"/>
      <c r="I403" s="31">
        <f>IF(OR(H403="",B403=""),"",IF(OR(C403="Closed",C403="Resolved"),"-",Setup!$G$2-H403))</f>
        <v/>
      </c>
      <c r="J403" s="32" t="n"/>
      <c r="K403" s="32" t="n"/>
    </row>
    <row r="404" ht="15" customHeight="1" s="36">
      <c r="A404" s="31">
        <f>IF(B404="","","IT-"&amp;Setup!$F$2&amp;TEXT(ROW()-1,"0000"))</f>
        <v/>
      </c>
      <c r="B404" s="32" t="n"/>
      <c r="C404" s="33" t="n"/>
      <c r="D404" s="33" t="n"/>
      <c r="E404" s="32" t="n"/>
      <c r="F404" s="32" t="n"/>
      <c r="G404" s="32" t="n"/>
      <c r="H404" s="34" t="n"/>
      <c r="I404" s="31">
        <f>IF(OR(H404="",B404=""),"",IF(OR(C404="Closed",C404="Resolved"),"-",Setup!$G$2-H404))</f>
        <v/>
      </c>
      <c r="J404" s="32" t="n"/>
      <c r="K404" s="32" t="n"/>
    </row>
    <row r="405" ht="15" customHeight="1" s="36">
      <c r="A405" s="31">
        <f>IF(B405="","","IT-"&amp;Setup!$F$2&amp;TEXT(ROW()-1,"0000"))</f>
        <v/>
      </c>
      <c r="B405" s="32" t="n"/>
      <c r="C405" s="33" t="n"/>
      <c r="D405" s="33" t="n"/>
      <c r="E405" s="32" t="n"/>
      <c r="F405" s="32" t="n"/>
      <c r="G405" s="32" t="n"/>
      <c r="H405" s="34" t="n"/>
      <c r="I405" s="31">
        <f>IF(OR(H405="",B405=""),"",IF(OR(C405="Closed",C405="Resolved"),"-",Setup!$G$2-H405))</f>
        <v/>
      </c>
      <c r="J405" s="32" t="n"/>
      <c r="K405" s="32" t="n"/>
    </row>
    <row r="406" ht="15" customHeight="1" s="36">
      <c r="A406" s="31">
        <f>IF(B406="","","IT-"&amp;Setup!$F$2&amp;TEXT(ROW()-1,"0000"))</f>
        <v/>
      </c>
      <c r="B406" s="32" t="n"/>
      <c r="C406" s="33" t="n"/>
      <c r="D406" s="33" t="n"/>
      <c r="E406" s="32" t="n"/>
      <c r="F406" s="32" t="n"/>
      <c r="G406" s="32" t="n"/>
      <c r="H406" s="34" t="n"/>
      <c r="I406" s="31">
        <f>IF(OR(H406="",B406=""),"",IF(OR(C406="Closed",C406="Resolved"),"-",Setup!$G$2-H406))</f>
        <v/>
      </c>
      <c r="J406" s="32" t="n"/>
      <c r="K406" s="32" t="n"/>
    </row>
    <row r="407" ht="15" customHeight="1" s="36">
      <c r="A407" s="31">
        <f>IF(B407="","","IT-"&amp;Setup!$F$2&amp;TEXT(ROW()-1,"0000"))</f>
        <v/>
      </c>
      <c r="B407" s="32" t="n"/>
      <c r="C407" s="33" t="n"/>
      <c r="D407" s="33" t="n"/>
      <c r="E407" s="32" t="n"/>
      <c r="F407" s="32" t="n"/>
      <c r="G407" s="32" t="n"/>
      <c r="H407" s="34" t="n"/>
      <c r="I407" s="31">
        <f>IF(OR(H407="",B407=""),"",IF(OR(C407="Closed",C407="Resolved"),"-",Setup!$G$2-H407))</f>
        <v/>
      </c>
      <c r="J407" s="32" t="n"/>
      <c r="K407" s="32" t="n"/>
    </row>
    <row r="408" ht="15" customHeight="1" s="36">
      <c r="A408" s="31">
        <f>IF(B408="","","IT-"&amp;Setup!$F$2&amp;TEXT(ROW()-1,"0000"))</f>
        <v/>
      </c>
      <c r="B408" s="32" t="n"/>
      <c r="C408" s="33" t="n"/>
      <c r="D408" s="33" t="n"/>
      <c r="E408" s="32" t="n"/>
      <c r="F408" s="32" t="n"/>
      <c r="G408" s="32" t="n"/>
      <c r="H408" s="34" t="n"/>
      <c r="I408" s="31">
        <f>IF(OR(H408="",B408=""),"",IF(OR(C408="Closed",C408="Resolved"),"-",Setup!$G$2-H408))</f>
        <v/>
      </c>
      <c r="J408" s="32" t="n"/>
      <c r="K408" s="32" t="n"/>
    </row>
    <row r="409" ht="15" customHeight="1" s="36">
      <c r="A409" s="31">
        <f>IF(B409="","","IT-"&amp;Setup!$F$2&amp;TEXT(ROW()-1,"0000"))</f>
        <v/>
      </c>
      <c r="B409" s="32" t="n"/>
      <c r="C409" s="33" t="n"/>
      <c r="D409" s="33" t="n"/>
      <c r="E409" s="32" t="n"/>
      <c r="F409" s="32" t="n"/>
      <c r="G409" s="32" t="n"/>
      <c r="H409" s="34" t="n"/>
      <c r="I409" s="31">
        <f>IF(OR(H409="",B409=""),"",IF(OR(C409="Closed",C409="Resolved"),"-",Setup!$G$2-H409))</f>
        <v/>
      </c>
      <c r="J409" s="32" t="n"/>
      <c r="K409" s="32" t="n"/>
    </row>
    <row r="410" ht="15" customHeight="1" s="36">
      <c r="A410" s="31">
        <f>IF(B410="","","IT-"&amp;Setup!$F$2&amp;TEXT(ROW()-1,"0000"))</f>
        <v/>
      </c>
      <c r="B410" s="32" t="n"/>
      <c r="C410" s="33" t="n"/>
      <c r="D410" s="33" t="n"/>
      <c r="E410" s="32" t="n"/>
      <c r="F410" s="32" t="n"/>
      <c r="G410" s="32" t="n"/>
      <c r="H410" s="34" t="n"/>
      <c r="I410" s="31">
        <f>IF(OR(H410="",B410=""),"",IF(OR(C410="Closed",C410="Resolved"),"-",Setup!$G$2-H410))</f>
        <v/>
      </c>
      <c r="J410" s="32" t="n"/>
      <c r="K410" s="32" t="n"/>
    </row>
    <row r="411" ht="15" customHeight="1" s="36">
      <c r="A411" s="31">
        <f>IF(B411="","","IT-"&amp;Setup!$F$2&amp;TEXT(ROW()-1,"0000"))</f>
        <v/>
      </c>
      <c r="B411" s="32" t="n"/>
      <c r="C411" s="33" t="n"/>
      <c r="D411" s="33" t="n"/>
      <c r="E411" s="32" t="n"/>
      <c r="F411" s="32" t="n"/>
      <c r="G411" s="32" t="n"/>
      <c r="H411" s="34" t="n"/>
      <c r="I411" s="31">
        <f>IF(OR(H411="",B411=""),"",IF(OR(C411="Closed",C411="Resolved"),"-",Setup!$G$2-H411))</f>
        <v/>
      </c>
      <c r="J411" s="32" t="n"/>
      <c r="K411" s="32" t="n"/>
    </row>
    <row r="412" ht="15" customHeight="1" s="36">
      <c r="A412" s="31">
        <f>IF(B412="","","IT-"&amp;Setup!$F$2&amp;TEXT(ROW()-1,"0000"))</f>
        <v/>
      </c>
      <c r="B412" s="32" t="n"/>
      <c r="C412" s="33" t="n"/>
      <c r="D412" s="33" t="n"/>
      <c r="E412" s="32" t="n"/>
      <c r="F412" s="32" t="n"/>
      <c r="G412" s="32" t="n"/>
      <c r="H412" s="34" t="n"/>
      <c r="I412" s="31">
        <f>IF(OR(H412="",B412=""),"",IF(OR(C412="Closed",C412="Resolved"),"-",Setup!$G$2-H412))</f>
        <v/>
      </c>
      <c r="J412" s="32" t="n"/>
      <c r="K412" s="32" t="n"/>
    </row>
    <row r="413" ht="15" customHeight="1" s="36">
      <c r="A413" s="31">
        <f>IF(B413="","","IT-"&amp;Setup!$F$2&amp;TEXT(ROW()-1,"0000"))</f>
        <v/>
      </c>
      <c r="B413" s="32" t="n"/>
      <c r="C413" s="33" t="n"/>
      <c r="D413" s="33" t="n"/>
      <c r="E413" s="32" t="n"/>
      <c r="F413" s="32" t="n"/>
      <c r="G413" s="32" t="n"/>
      <c r="H413" s="34" t="n"/>
      <c r="I413" s="31">
        <f>IF(OR(H413="",B413=""),"",IF(OR(C413="Closed",C413="Resolved"),"-",Setup!$G$2-H413))</f>
        <v/>
      </c>
      <c r="J413" s="32" t="n"/>
      <c r="K413" s="32" t="n"/>
    </row>
    <row r="414" ht="15" customHeight="1" s="36">
      <c r="A414" s="31">
        <f>IF(B414="","","IT-"&amp;Setup!$F$2&amp;TEXT(ROW()-1,"0000"))</f>
        <v/>
      </c>
      <c r="B414" s="32" t="n"/>
      <c r="C414" s="33" t="n"/>
      <c r="D414" s="33" t="n"/>
      <c r="E414" s="32" t="n"/>
      <c r="F414" s="32" t="n"/>
      <c r="G414" s="32" t="n"/>
      <c r="H414" s="34" t="n"/>
      <c r="I414" s="31">
        <f>IF(OR(H414="",B414=""),"",IF(OR(C414="Closed",C414="Resolved"),"-",Setup!$G$2-H414))</f>
        <v/>
      </c>
      <c r="J414" s="32" t="n"/>
      <c r="K414" s="32" t="n"/>
    </row>
    <row r="415" ht="15" customHeight="1" s="36">
      <c r="A415" s="31">
        <f>IF(B415="","","IT-"&amp;Setup!$F$2&amp;TEXT(ROW()-1,"0000"))</f>
        <v/>
      </c>
      <c r="B415" s="32" t="n"/>
      <c r="C415" s="33" t="n"/>
      <c r="D415" s="33" t="n"/>
      <c r="E415" s="32" t="n"/>
      <c r="F415" s="32" t="n"/>
      <c r="G415" s="32" t="n"/>
      <c r="H415" s="34" t="n"/>
      <c r="I415" s="31">
        <f>IF(OR(H415="",B415=""),"",IF(OR(C415="Closed",C415="Resolved"),"-",Setup!$G$2-H415))</f>
        <v/>
      </c>
      <c r="J415" s="32" t="n"/>
      <c r="K415" s="32" t="n"/>
    </row>
    <row r="416" ht="15" customHeight="1" s="36">
      <c r="A416" s="31">
        <f>IF(B416="","","IT-"&amp;Setup!$F$2&amp;TEXT(ROW()-1,"0000"))</f>
        <v/>
      </c>
      <c r="B416" s="32" t="n"/>
      <c r="C416" s="33" t="n"/>
      <c r="D416" s="33" t="n"/>
      <c r="E416" s="32" t="n"/>
      <c r="F416" s="32" t="n"/>
      <c r="G416" s="32" t="n"/>
      <c r="H416" s="34" t="n"/>
      <c r="I416" s="31">
        <f>IF(OR(H416="",B416=""),"",IF(OR(C416="Closed",C416="Resolved"),"-",Setup!$G$2-H416))</f>
        <v/>
      </c>
      <c r="J416" s="32" t="n"/>
      <c r="K416" s="32" t="n"/>
    </row>
    <row r="417" ht="15" customHeight="1" s="36">
      <c r="A417" s="31">
        <f>IF(B417="","","IT-"&amp;Setup!$F$2&amp;TEXT(ROW()-1,"0000"))</f>
        <v/>
      </c>
      <c r="B417" s="32" t="n"/>
      <c r="C417" s="33" t="n"/>
      <c r="D417" s="33" t="n"/>
      <c r="E417" s="32" t="n"/>
      <c r="F417" s="32" t="n"/>
      <c r="G417" s="32" t="n"/>
      <c r="H417" s="34" t="n"/>
      <c r="I417" s="31">
        <f>IF(OR(H417="",B417=""),"",IF(OR(C417="Closed",C417="Resolved"),"-",Setup!$G$2-H417))</f>
        <v/>
      </c>
      <c r="J417" s="32" t="n"/>
      <c r="K417" s="32" t="n"/>
    </row>
    <row r="418" ht="15" customHeight="1" s="36">
      <c r="A418" s="31">
        <f>IF(B418="","","IT-"&amp;Setup!$F$2&amp;TEXT(ROW()-1,"0000"))</f>
        <v/>
      </c>
      <c r="B418" s="32" t="n"/>
      <c r="C418" s="33" t="n"/>
      <c r="D418" s="33" t="n"/>
      <c r="E418" s="32" t="n"/>
      <c r="F418" s="32" t="n"/>
      <c r="G418" s="32" t="n"/>
      <c r="H418" s="34" t="n"/>
      <c r="I418" s="31">
        <f>IF(OR(H418="",B418=""),"",IF(OR(C418="Closed",C418="Resolved"),"-",Setup!$G$2-H418))</f>
        <v/>
      </c>
      <c r="J418" s="32" t="n"/>
      <c r="K418" s="32" t="n"/>
    </row>
    <row r="419" ht="15" customHeight="1" s="36">
      <c r="A419" s="31">
        <f>IF(B419="","","IT-"&amp;Setup!$F$2&amp;TEXT(ROW()-1,"0000"))</f>
        <v/>
      </c>
      <c r="B419" s="32" t="n"/>
      <c r="C419" s="33" t="n"/>
      <c r="D419" s="33" t="n"/>
      <c r="E419" s="32" t="n"/>
      <c r="F419" s="32" t="n"/>
      <c r="G419" s="32" t="n"/>
      <c r="H419" s="34" t="n"/>
      <c r="I419" s="31">
        <f>IF(OR(H419="",B419=""),"",IF(OR(C419="Closed",C419="Resolved"),"-",Setup!$G$2-H419))</f>
        <v/>
      </c>
      <c r="J419" s="32" t="n"/>
      <c r="K419" s="32" t="n"/>
    </row>
    <row r="420" ht="15" customHeight="1" s="36">
      <c r="A420" s="31">
        <f>IF(B420="","","IT-"&amp;Setup!$F$2&amp;TEXT(ROW()-1,"0000"))</f>
        <v/>
      </c>
      <c r="B420" s="32" t="n"/>
      <c r="C420" s="33" t="n"/>
      <c r="D420" s="33" t="n"/>
      <c r="E420" s="32" t="n"/>
      <c r="F420" s="32" t="n"/>
      <c r="G420" s="32" t="n"/>
      <c r="H420" s="34" t="n"/>
      <c r="I420" s="31">
        <f>IF(OR(H420="",B420=""),"",IF(OR(C420="Closed",C420="Resolved"),"-",Setup!$G$2-H420))</f>
        <v/>
      </c>
      <c r="J420" s="32" t="n"/>
      <c r="K420" s="32" t="n"/>
    </row>
    <row r="421" ht="15" customHeight="1" s="36">
      <c r="A421" s="31">
        <f>IF(B421="","","IT-"&amp;Setup!$F$2&amp;TEXT(ROW()-1,"0000"))</f>
        <v/>
      </c>
      <c r="B421" s="32" t="n"/>
      <c r="C421" s="33" t="n"/>
      <c r="D421" s="33" t="n"/>
      <c r="E421" s="32" t="n"/>
      <c r="F421" s="32" t="n"/>
      <c r="G421" s="32" t="n"/>
      <c r="H421" s="34" t="n"/>
      <c r="I421" s="31">
        <f>IF(OR(H421="",B421=""),"",IF(OR(C421="Closed",C421="Resolved"),"-",Setup!$G$2-H421))</f>
        <v/>
      </c>
      <c r="J421" s="32" t="n"/>
      <c r="K421" s="32" t="n"/>
    </row>
    <row r="422" ht="15" customHeight="1" s="36">
      <c r="A422" s="31">
        <f>IF(B422="","","IT-"&amp;Setup!$F$2&amp;TEXT(ROW()-1,"0000"))</f>
        <v/>
      </c>
      <c r="B422" s="32" t="n"/>
      <c r="C422" s="33" t="n"/>
      <c r="D422" s="33" t="n"/>
      <c r="E422" s="32" t="n"/>
      <c r="F422" s="32" t="n"/>
      <c r="G422" s="32" t="n"/>
      <c r="H422" s="34" t="n"/>
      <c r="I422" s="31">
        <f>IF(OR(H422="",B422=""),"",IF(OR(C422="Closed",C422="Resolved"),"-",Setup!$G$2-H422))</f>
        <v/>
      </c>
      <c r="J422" s="32" t="n"/>
      <c r="K422" s="32" t="n"/>
    </row>
    <row r="423" ht="15" customHeight="1" s="36">
      <c r="A423" s="31">
        <f>IF(B423="","","IT-"&amp;Setup!$F$2&amp;TEXT(ROW()-1,"0000"))</f>
        <v/>
      </c>
      <c r="B423" s="32" t="n"/>
      <c r="C423" s="33" t="n"/>
      <c r="D423" s="33" t="n"/>
      <c r="E423" s="32" t="n"/>
      <c r="F423" s="32" t="n"/>
      <c r="G423" s="32" t="n"/>
      <c r="H423" s="34" t="n"/>
      <c r="I423" s="31">
        <f>IF(OR(H423="",B423=""),"",IF(OR(C423="Closed",C423="Resolved"),"-",Setup!$G$2-H423))</f>
        <v/>
      </c>
      <c r="J423" s="32" t="n"/>
      <c r="K423" s="32" t="n"/>
    </row>
    <row r="424" ht="15" customHeight="1" s="36">
      <c r="A424" s="31">
        <f>IF(B424="","","IT-"&amp;Setup!$F$2&amp;TEXT(ROW()-1,"0000"))</f>
        <v/>
      </c>
      <c r="B424" s="32" t="n"/>
      <c r="C424" s="33" t="n"/>
      <c r="D424" s="33" t="n"/>
      <c r="E424" s="32" t="n"/>
      <c r="F424" s="32" t="n"/>
      <c r="G424" s="32" t="n"/>
      <c r="H424" s="34" t="n"/>
      <c r="I424" s="31">
        <f>IF(OR(H424="",B424=""),"",IF(OR(C424="Closed",C424="Resolved"),"-",Setup!$G$2-H424))</f>
        <v/>
      </c>
      <c r="J424" s="32" t="n"/>
      <c r="K424" s="32" t="n"/>
    </row>
    <row r="425" ht="15" customHeight="1" s="36">
      <c r="A425" s="31">
        <f>IF(B425="","","IT-"&amp;Setup!$F$2&amp;TEXT(ROW()-1,"0000"))</f>
        <v/>
      </c>
      <c r="B425" s="32" t="n"/>
      <c r="C425" s="33" t="n"/>
      <c r="D425" s="33" t="n"/>
      <c r="E425" s="32" t="n"/>
      <c r="F425" s="32" t="n"/>
      <c r="G425" s="32" t="n"/>
      <c r="H425" s="34" t="n"/>
      <c r="I425" s="31">
        <f>IF(OR(H425="",B425=""),"",IF(OR(C425="Closed",C425="Resolved"),"-",Setup!$G$2-H425))</f>
        <v/>
      </c>
      <c r="J425" s="32" t="n"/>
      <c r="K425" s="32" t="n"/>
    </row>
    <row r="426" ht="15" customHeight="1" s="36">
      <c r="A426" s="31">
        <f>IF(B426="","","IT-"&amp;Setup!$F$2&amp;TEXT(ROW()-1,"0000"))</f>
        <v/>
      </c>
      <c r="B426" s="32" t="n"/>
      <c r="C426" s="33" t="n"/>
      <c r="D426" s="33" t="n"/>
      <c r="E426" s="32" t="n"/>
      <c r="F426" s="32" t="n"/>
      <c r="G426" s="32" t="n"/>
      <c r="H426" s="34" t="n"/>
      <c r="I426" s="31">
        <f>IF(OR(H426="",B426=""),"",IF(OR(C426="Closed",C426="Resolved"),"-",Setup!$G$2-H426))</f>
        <v/>
      </c>
      <c r="J426" s="32" t="n"/>
      <c r="K426" s="32" t="n"/>
    </row>
    <row r="427" ht="15" customHeight="1" s="36">
      <c r="A427" s="31">
        <f>IF(B427="","","IT-"&amp;Setup!$F$2&amp;TEXT(ROW()-1,"0000"))</f>
        <v/>
      </c>
      <c r="B427" s="32" t="n"/>
      <c r="C427" s="33" t="n"/>
      <c r="D427" s="33" t="n"/>
      <c r="E427" s="32" t="n"/>
      <c r="F427" s="32" t="n"/>
      <c r="G427" s="32" t="n"/>
      <c r="H427" s="34" t="n"/>
      <c r="I427" s="31">
        <f>IF(OR(H427="",B427=""),"",IF(OR(C427="Closed",C427="Resolved"),"-",Setup!$G$2-H427))</f>
        <v/>
      </c>
      <c r="J427" s="32" t="n"/>
      <c r="K427" s="32" t="n"/>
    </row>
    <row r="428" ht="15" customHeight="1" s="36">
      <c r="A428" s="31">
        <f>IF(B428="","","IT-"&amp;Setup!$F$2&amp;TEXT(ROW()-1,"0000"))</f>
        <v/>
      </c>
      <c r="B428" s="32" t="n"/>
      <c r="C428" s="33" t="n"/>
      <c r="D428" s="33" t="n"/>
      <c r="E428" s="32" t="n"/>
      <c r="F428" s="32" t="n"/>
      <c r="G428" s="32" t="n"/>
      <c r="H428" s="34" t="n"/>
      <c r="I428" s="31">
        <f>IF(OR(H428="",B428=""),"",IF(OR(C428="Closed",C428="Resolved"),"-",Setup!$G$2-H428))</f>
        <v/>
      </c>
      <c r="J428" s="32" t="n"/>
      <c r="K428" s="32" t="n"/>
    </row>
    <row r="429" ht="15" customHeight="1" s="36">
      <c r="A429" s="31">
        <f>IF(B429="","","IT-"&amp;Setup!$F$2&amp;TEXT(ROW()-1,"0000"))</f>
        <v/>
      </c>
      <c r="B429" s="32" t="n"/>
      <c r="C429" s="33" t="n"/>
      <c r="D429" s="33" t="n"/>
      <c r="E429" s="32" t="n"/>
      <c r="F429" s="32" t="n"/>
      <c r="G429" s="32" t="n"/>
      <c r="H429" s="34" t="n"/>
      <c r="I429" s="31">
        <f>IF(OR(H429="",B429=""),"",IF(OR(C429="Closed",C429="Resolved"),"-",Setup!$G$2-H429))</f>
        <v/>
      </c>
      <c r="J429" s="32" t="n"/>
      <c r="K429" s="32" t="n"/>
    </row>
    <row r="430" ht="15" customHeight="1" s="36">
      <c r="A430" s="31">
        <f>IF(B430="","","IT-"&amp;Setup!$F$2&amp;TEXT(ROW()-1,"0000"))</f>
        <v/>
      </c>
      <c r="B430" s="32" t="n"/>
      <c r="C430" s="33" t="n"/>
      <c r="D430" s="33" t="n"/>
      <c r="E430" s="32" t="n"/>
      <c r="F430" s="32" t="n"/>
      <c r="G430" s="32" t="n"/>
      <c r="H430" s="34" t="n"/>
      <c r="I430" s="31">
        <f>IF(OR(H430="",B430=""),"",IF(OR(C430="Closed",C430="Resolved"),"-",Setup!$G$2-H430))</f>
        <v/>
      </c>
      <c r="J430" s="32" t="n"/>
      <c r="K430" s="32" t="n"/>
    </row>
    <row r="431" ht="15" customHeight="1" s="36">
      <c r="A431" s="31">
        <f>IF(B431="","","IT-"&amp;Setup!$F$2&amp;TEXT(ROW()-1,"0000"))</f>
        <v/>
      </c>
      <c r="B431" s="32" t="n"/>
      <c r="C431" s="33" t="n"/>
      <c r="D431" s="33" t="n"/>
      <c r="E431" s="32" t="n"/>
      <c r="F431" s="32" t="n"/>
      <c r="G431" s="32" t="n"/>
      <c r="H431" s="34" t="n"/>
      <c r="I431" s="31">
        <f>IF(OR(H431="",B431=""),"",IF(OR(C431="Closed",C431="Resolved"),"-",Setup!$G$2-H431))</f>
        <v/>
      </c>
      <c r="J431" s="32" t="n"/>
      <c r="K431" s="32" t="n"/>
    </row>
    <row r="432" ht="15" customHeight="1" s="36">
      <c r="A432" s="31">
        <f>IF(B432="","","IT-"&amp;Setup!$F$2&amp;TEXT(ROW()-1,"0000"))</f>
        <v/>
      </c>
      <c r="B432" s="32" t="n"/>
      <c r="C432" s="33" t="n"/>
      <c r="D432" s="33" t="n"/>
      <c r="E432" s="32" t="n"/>
      <c r="F432" s="32" t="n"/>
      <c r="G432" s="32" t="n"/>
      <c r="H432" s="34" t="n"/>
      <c r="I432" s="31">
        <f>IF(OR(H432="",B432=""),"",IF(OR(C432="Closed",C432="Resolved"),"-",Setup!$G$2-H432))</f>
        <v/>
      </c>
      <c r="J432" s="32" t="n"/>
      <c r="K432" s="32" t="n"/>
    </row>
    <row r="433" ht="15" customHeight="1" s="36">
      <c r="A433" s="31">
        <f>IF(B433="","","IT-"&amp;Setup!$F$2&amp;TEXT(ROW()-1,"0000"))</f>
        <v/>
      </c>
      <c r="B433" s="32" t="n"/>
      <c r="C433" s="33" t="n"/>
      <c r="D433" s="33" t="n"/>
      <c r="E433" s="32" t="n"/>
      <c r="F433" s="32" t="n"/>
      <c r="G433" s="32" t="n"/>
      <c r="H433" s="34" t="n"/>
      <c r="I433" s="31">
        <f>IF(OR(H433="",B433=""),"",IF(OR(C433="Closed",C433="Resolved"),"-",Setup!$G$2-H433))</f>
        <v/>
      </c>
      <c r="J433" s="32" t="n"/>
      <c r="K433" s="32" t="n"/>
    </row>
    <row r="434" ht="15" customHeight="1" s="36">
      <c r="A434" s="31">
        <f>IF(B434="","","IT-"&amp;Setup!$F$2&amp;TEXT(ROW()-1,"0000"))</f>
        <v/>
      </c>
      <c r="B434" s="32" t="n"/>
      <c r="C434" s="33" t="n"/>
      <c r="D434" s="33" t="n"/>
      <c r="E434" s="32" t="n"/>
      <c r="F434" s="32" t="n"/>
      <c r="G434" s="32" t="n"/>
      <c r="H434" s="34" t="n"/>
      <c r="I434" s="31">
        <f>IF(OR(H434="",B434=""),"",IF(OR(C434="Closed",C434="Resolved"),"-",Setup!$G$2-H434))</f>
        <v/>
      </c>
      <c r="J434" s="32" t="n"/>
      <c r="K434" s="32" t="n"/>
    </row>
    <row r="435" ht="15" customHeight="1" s="36">
      <c r="A435" s="31">
        <f>IF(B435="","","IT-"&amp;Setup!$F$2&amp;TEXT(ROW()-1,"0000"))</f>
        <v/>
      </c>
      <c r="B435" s="32" t="n"/>
      <c r="C435" s="33" t="n"/>
      <c r="D435" s="33" t="n"/>
      <c r="E435" s="32" t="n"/>
      <c r="F435" s="32" t="n"/>
      <c r="G435" s="32" t="n"/>
      <c r="H435" s="34" t="n"/>
      <c r="I435" s="31">
        <f>IF(OR(H435="",B435=""),"",IF(OR(C435="Closed",C435="Resolved"),"-",Setup!$G$2-H435))</f>
        <v/>
      </c>
      <c r="J435" s="32" t="n"/>
      <c r="K435" s="32" t="n"/>
    </row>
    <row r="436" ht="15" customHeight="1" s="36">
      <c r="A436" s="31">
        <f>IF(B436="","","IT-"&amp;Setup!$F$2&amp;TEXT(ROW()-1,"0000"))</f>
        <v/>
      </c>
      <c r="B436" s="32" t="n"/>
      <c r="C436" s="33" t="n"/>
      <c r="D436" s="33" t="n"/>
      <c r="E436" s="32" t="n"/>
      <c r="F436" s="32" t="n"/>
      <c r="G436" s="32" t="n"/>
      <c r="H436" s="34" t="n"/>
      <c r="I436" s="31">
        <f>IF(OR(H436="",B436=""),"",IF(OR(C436="Closed",C436="Resolved"),"-",Setup!$G$2-H436))</f>
        <v/>
      </c>
      <c r="J436" s="32" t="n"/>
      <c r="K436" s="32" t="n"/>
    </row>
    <row r="437" ht="15" customHeight="1" s="36">
      <c r="A437" s="31">
        <f>IF(B437="","","IT-"&amp;Setup!$F$2&amp;TEXT(ROW()-1,"0000"))</f>
        <v/>
      </c>
      <c r="B437" s="32" t="n"/>
      <c r="C437" s="33" t="n"/>
      <c r="D437" s="33" t="n"/>
      <c r="E437" s="32" t="n"/>
      <c r="F437" s="32" t="n"/>
      <c r="G437" s="32" t="n"/>
      <c r="H437" s="34" t="n"/>
      <c r="I437" s="31">
        <f>IF(OR(H437="",B437=""),"",IF(OR(C437="Closed",C437="Resolved"),"-",Setup!$G$2-H437))</f>
        <v/>
      </c>
      <c r="J437" s="32" t="n"/>
      <c r="K437" s="32" t="n"/>
    </row>
    <row r="438" ht="15" customHeight="1" s="36">
      <c r="A438" s="31">
        <f>IF(B438="","","IT-"&amp;Setup!$F$2&amp;TEXT(ROW()-1,"0000"))</f>
        <v/>
      </c>
      <c r="B438" s="32" t="n"/>
      <c r="C438" s="33" t="n"/>
      <c r="D438" s="33" t="n"/>
      <c r="E438" s="32" t="n"/>
      <c r="F438" s="32" t="n"/>
      <c r="G438" s="32" t="n"/>
      <c r="H438" s="34" t="n"/>
      <c r="I438" s="31">
        <f>IF(OR(H438="",B438=""),"",IF(OR(C438="Closed",C438="Resolved"),"-",Setup!$G$2-H438))</f>
        <v/>
      </c>
      <c r="J438" s="32" t="n"/>
      <c r="K438" s="32" t="n"/>
    </row>
    <row r="439" ht="15" customHeight="1" s="36">
      <c r="A439" s="31">
        <f>IF(B439="","","IT-"&amp;Setup!$F$2&amp;TEXT(ROW()-1,"0000"))</f>
        <v/>
      </c>
      <c r="B439" s="32" t="n"/>
      <c r="C439" s="33" t="n"/>
      <c r="D439" s="33" t="n"/>
      <c r="E439" s="32" t="n"/>
      <c r="F439" s="32" t="n"/>
      <c r="G439" s="32" t="n"/>
      <c r="H439" s="34" t="n"/>
      <c r="I439" s="31">
        <f>IF(OR(H439="",B439=""),"",IF(OR(C439="Closed",C439="Resolved"),"-",Setup!$G$2-H439))</f>
        <v/>
      </c>
      <c r="J439" s="32" t="n"/>
      <c r="K439" s="32" t="n"/>
    </row>
    <row r="440" ht="15" customHeight="1" s="36">
      <c r="A440" s="31">
        <f>IF(B440="","","IT-"&amp;Setup!$F$2&amp;TEXT(ROW()-1,"0000"))</f>
        <v/>
      </c>
      <c r="B440" s="32" t="n"/>
      <c r="C440" s="33" t="n"/>
      <c r="D440" s="33" t="n"/>
      <c r="E440" s="32" t="n"/>
      <c r="F440" s="32" t="n"/>
      <c r="G440" s="32" t="n"/>
      <c r="H440" s="34" t="n"/>
      <c r="I440" s="31">
        <f>IF(OR(H440="",B440=""),"",IF(OR(C440="Closed",C440="Resolved"),"-",Setup!$G$2-H440))</f>
        <v/>
      </c>
      <c r="J440" s="32" t="n"/>
      <c r="K440" s="32" t="n"/>
    </row>
    <row r="441" ht="15" customHeight="1" s="36">
      <c r="A441" s="31">
        <f>IF(B441="","","IT-"&amp;Setup!$F$2&amp;TEXT(ROW()-1,"0000"))</f>
        <v/>
      </c>
      <c r="B441" s="32" t="n"/>
      <c r="C441" s="33" t="n"/>
      <c r="D441" s="33" t="n"/>
      <c r="E441" s="32" t="n"/>
      <c r="F441" s="32" t="n"/>
      <c r="G441" s="32" t="n"/>
      <c r="H441" s="34" t="n"/>
      <c r="I441" s="31">
        <f>IF(OR(H441="",B441=""),"",IF(OR(C441="Closed",C441="Resolved"),"-",Setup!$G$2-H441))</f>
        <v/>
      </c>
      <c r="J441" s="32" t="n"/>
      <c r="K441" s="32" t="n"/>
    </row>
    <row r="442" ht="15" customHeight="1" s="36">
      <c r="A442" s="31">
        <f>IF(B442="","","IT-"&amp;Setup!$F$2&amp;TEXT(ROW()-1,"0000"))</f>
        <v/>
      </c>
      <c r="B442" s="32" t="n"/>
      <c r="C442" s="33" t="n"/>
      <c r="D442" s="33" t="n"/>
      <c r="E442" s="32" t="n"/>
      <c r="F442" s="32" t="n"/>
      <c r="G442" s="32" t="n"/>
      <c r="H442" s="34" t="n"/>
      <c r="I442" s="31">
        <f>IF(OR(H442="",B442=""),"",IF(OR(C442="Closed",C442="Resolved"),"-",Setup!$G$2-H442))</f>
        <v/>
      </c>
      <c r="J442" s="32" t="n"/>
      <c r="K442" s="32" t="n"/>
    </row>
    <row r="443" ht="15" customHeight="1" s="36">
      <c r="A443" s="31">
        <f>IF(B443="","","IT-"&amp;Setup!$F$2&amp;TEXT(ROW()-1,"0000"))</f>
        <v/>
      </c>
      <c r="B443" s="32" t="n"/>
      <c r="C443" s="33" t="n"/>
      <c r="D443" s="33" t="n"/>
      <c r="E443" s="32" t="n"/>
      <c r="F443" s="32" t="n"/>
      <c r="G443" s="32" t="n"/>
      <c r="H443" s="34" t="n"/>
      <c r="I443" s="31">
        <f>IF(OR(H443="",B443=""),"",IF(OR(C443="Closed",C443="Resolved"),"-",Setup!$G$2-H443))</f>
        <v/>
      </c>
      <c r="J443" s="32" t="n"/>
      <c r="K443" s="32" t="n"/>
    </row>
    <row r="444" ht="15" customHeight="1" s="36">
      <c r="A444" s="31">
        <f>IF(B444="","","IT-"&amp;Setup!$F$2&amp;TEXT(ROW()-1,"0000"))</f>
        <v/>
      </c>
      <c r="B444" s="32" t="n"/>
      <c r="C444" s="33" t="n"/>
      <c r="D444" s="33" t="n"/>
      <c r="E444" s="32" t="n"/>
      <c r="F444" s="32" t="n"/>
      <c r="G444" s="32" t="n"/>
      <c r="H444" s="34" t="n"/>
      <c r="I444" s="31">
        <f>IF(OR(H444="",B444=""),"",IF(OR(C444="Closed",C444="Resolved"),"-",Setup!$G$2-H444))</f>
        <v/>
      </c>
      <c r="J444" s="32" t="n"/>
      <c r="K444" s="32" t="n"/>
    </row>
    <row r="445" ht="15" customHeight="1" s="36">
      <c r="A445" s="31">
        <f>IF(B445="","","IT-"&amp;Setup!$F$2&amp;TEXT(ROW()-1,"0000"))</f>
        <v/>
      </c>
      <c r="B445" s="32" t="n"/>
      <c r="C445" s="33" t="n"/>
      <c r="D445" s="33" t="n"/>
      <c r="E445" s="32" t="n"/>
      <c r="F445" s="32" t="n"/>
      <c r="G445" s="32" t="n"/>
      <c r="H445" s="34" t="n"/>
      <c r="I445" s="31">
        <f>IF(OR(H445="",B445=""),"",IF(OR(C445="Closed",C445="Resolved"),"-",Setup!$G$2-H445))</f>
        <v/>
      </c>
      <c r="J445" s="32" t="n"/>
      <c r="K445" s="32" t="n"/>
    </row>
    <row r="446" ht="15" customHeight="1" s="36">
      <c r="A446" s="31">
        <f>IF(B446="","","IT-"&amp;Setup!$F$2&amp;TEXT(ROW()-1,"0000"))</f>
        <v/>
      </c>
      <c r="B446" s="32" t="n"/>
      <c r="C446" s="33" t="n"/>
      <c r="D446" s="33" t="n"/>
      <c r="E446" s="32" t="n"/>
      <c r="F446" s="32" t="n"/>
      <c r="G446" s="32" t="n"/>
      <c r="H446" s="34" t="n"/>
      <c r="I446" s="31">
        <f>IF(OR(H446="",B446=""),"",IF(OR(C446="Closed",C446="Resolved"),"-",Setup!$G$2-H446))</f>
        <v/>
      </c>
      <c r="J446" s="32" t="n"/>
      <c r="K446" s="32" t="n"/>
    </row>
    <row r="447" ht="15" customHeight="1" s="36">
      <c r="A447" s="31">
        <f>IF(B447="","","IT-"&amp;Setup!$F$2&amp;TEXT(ROW()-1,"0000"))</f>
        <v/>
      </c>
      <c r="B447" s="32" t="n"/>
      <c r="C447" s="33" t="n"/>
      <c r="D447" s="33" t="n"/>
      <c r="E447" s="32" t="n"/>
      <c r="F447" s="32" t="n"/>
      <c r="G447" s="32" t="n"/>
      <c r="H447" s="34" t="n"/>
      <c r="I447" s="31">
        <f>IF(OR(H447="",B447=""),"",IF(OR(C447="Closed",C447="Resolved"),"-",Setup!$G$2-H447))</f>
        <v/>
      </c>
      <c r="J447" s="32" t="n"/>
      <c r="K447" s="32" t="n"/>
    </row>
    <row r="448" ht="15" customHeight="1" s="36">
      <c r="A448" s="31">
        <f>IF(B448="","","IT-"&amp;Setup!$F$2&amp;TEXT(ROW()-1,"0000"))</f>
        <v/>
      </c>
      <c r="B448" s="32" t="n"/>
      <c r="C448" s="33" t="n"/>
      <c r="D448" s="33" t="n"/>
      <c r="E448" s="32" t="n"/>
      <c r="F448" s="32" t="n"/>
      <c r="G448" s="32" t="n"/>
      <c r="H448" s="34" t="n"/>
      <c r="I448" s="31">
        <f>IF(OR(H448="",B448=""),"",IF(OR(C448="Closed",C448="Resolved"),"-",Setup!$G$2-H448))</f>
        <v/>
      </c>
      <c r="J448" s="32" t="n"/>
      <c r="K448" s="32" t="n"/>
    </row>
    <row r="449" ht="15" customHeight="1" s="36">
      <c r="A449" s="31">
        <f>IF(B449="","","IT-"&amp;Setup!$F$2&amp;TEXT(ROW()-1,"0000"))</f>
        <v/>
      </c>
      <c r="B449" s="32" t="n"/>
      <c r="C449" s="33" t="n"/>
      <c r="D449" s="33" t="n"/>
      <c r="E449" s="32" t="n"/>
      <c r="F449" s="32" t="n"/>
      <c r="G449" s="32" t="n"/>
      <c r="H449" s="34" t="n"/>
      <c r="I449" s="31">
        <f>IF(OR(H449="",B449=""),"",IF(OR(C449="Closed",C449="Resolved"),"-",Setup!$G$2-H449))</f>
        <v/>
      </c>
      <c r="J449" s="32" t="n"/>
      <c r="K449" s="32" t="n"/>
    </row>
    <row r="450" ht="15" customHeight="1" s="36">
      <c r="A450" s="31">
        <f>IF(B450="","","IT-"&amp;Setup!$F$2&amp;TEXT(ROW()-1,"0000"))</f>
        <v/>
      </c>
      <c r="B450" s="32" t="n"/>
      <c r="C450" s="33" t="n"/>
      <c r="D450" s="33" t="n"/>
      <c r="E450" s="32" t="n"/>
      <c r="F450" s="32" t="n"/>
      <c r="G450" s="32" t="n"/>
      <c r="H450" s="34" t="n"/>
      <c r="I450" s="31">
        <f>IF(OR(H450="",B450=""),"",IF(OR(C450="Closed",C450="Resolved"),"-",Setup!$G$2-H450))</f>
        <v/>
      </c>
      <c r="J450" s="32" t="n"/>
      <c r="K450" s="32" t="n"/>
    </row>
    <row r="451" ht="15" customHeight="1" s="36">
      <c r="A451" s="31">
        <f>IF(B451="","","IT-"&amp;Setup!$F$2&amp;TEXT(ROW()-1,"0000"))</f>
        <v/>
      </c>
      <c r="B451" s="32" t="n"/>
      <c r="C451" s="33" t="n"/>
      <c r="D451" s="33" t="n"/>
      <c r="E451" s="32" t="n"/>
      <c r="F451" s="32" t="n"/>
      <c r="G451" s="32" t="n"/>
      <c r="H451" s="34" t="n"/>
      <c r="I451" s="31">
        <f>IF(OR(H451="",B451=""),"",IF(OR(C451="Closed",C451="Resolved"),"-",Setup!$G$2-H451))</f>
        <v/>
      </c>
      <c r="J451" s="32" t="n"/>
      <c r="K451" s="32" t="n"/>
    </row>
    <row r="452" ht="15" customHeight="1" s="36">
      <c r="A452" s="31">
        <f>IF(B452="","","IT-"&amp;Setup!$F$2&amp;TEXT(ROW()-1,"0000"))</f>
        <v/>
      </c>
      <c r="B452" s="32" t="n"/>
      <c r="C452" s="33" t="n"/>
      <c r="D452" s="33" t="n"/>
      <c r="E452" s="32" t="n"/>
      <c r="F452" s="32" t="n"/>
      <c r="G452" s="32" t="n"/>
      <c r="H452" s="34" t="n"/>
      <c r="I452" s="31">
        <f>IF(OR(H452="",B452=""),"",IF(OR(C452="Closed",C452="Resolved"),"-",Setup!$G$2-H452))</f>
        <v/>
      </c>
      <c r="J452" s="32" t="n"/>
      <c r="K452" s="32" t="n"/>
    </row>
    <row r="453" ht="15" customHeight="1" s="36">
      <c r="A453" s="31">
        <f>IF(B453="","","IT-"&amp;Setup!$F$2&amp;TEXT(ROW()-1,"0000"))</f>
        <v/>
      </c>
      <c r="B453" s="32" t="n"/>
      <c r="C453" s="33" t="n"/>
      <c r="D453" s="33" t="n"/>
      <c r="E453" s="32" t="n"/>
      <c r="F453" s="32" t="n"/>
      <c r="G453" s="32" t="n"/>
      <c r="H453" s="34" t="n"/>
      <c r="I453" s="31">
        <f>IF(OR(H453="",B453=""),"",IF(OR(C453="Closed",C453="Resolved"),"-",Setup!$G$2-H453))</f>
        <v/>
      </c>
      <c r="J453" s="32" t="n"/>
      <c r="K453" s="32" t="n"/>
    </row>
    <row r="454" ht="15" customHeight="1" s="36">
      <c r="A454" s="31">
        <f>IF(B454="","","IT-"&amp;Setup!$F$2&amp;TEXT(ROW()-1,"0000"))</f>
        <v/>
      </c>
      <c r="B454" s="32" t="n"/>
      <c r="C454" s="33" t="n"/>
      <c r="D454" s="33" t="n"/>
      <c r="E454" s="32" t="n"/>
      <c r="F454" s="32" t="n"/>
      <c r="G454" s="32" t="n"/>
      <c r="H454" s="34" t="n"/>
      <c r="I454" s="31">
        <f>IF(OR(H454="",B454=""),"",IF(OR(C454="Closed",C454="Resolved"),"-",Setup!$G$2-H454))</f>
        <v/>
      </c>
      <c r="J454" s="32" t="n"/>
      <c r="K454" s="32" t="n"/>
    </row>
    <row r="455" ht="15" customHeight="1" s="36">
      <c r="A455" s="31">
        <f>IF(B455="","","IT-"&amp;Setup!$F$2&amp;TEXT(ROW()-1,"0000"))</f>
        <v/>
      </c>
      <c r="B455" s="32" t="n"/>
      <c r="C455" s="33" t="n"/>
      <c r="D455" s="33" t="n"/>
      <c r="E455" s="32" t="n"/>
      <c r="F455" s="32" t="n"/>
      <c r="G455" s="32" t="n"/>
      <c r="H455" s="34" t="n"/>
      <c r="I455" s="31">
        <f>IF(OR(H455="",B455=""),"",IF(OR(C455="Closed",C455="Resolved"),"-",Setup!$G$2-H455))</f>
        <v/>
      </c>
      <c r="J455" s="32" t="n"/>
      <c r="K455" s="32" t="n"/>
    </row>
    <row r="456" ht="15" customHeight="1" s="36">
      <c r="A456" s="31">
        <f>IF(B456="","","IT-"&amp;Setup!$F$2&amp;TEXT(ROW()-1,"0000"))</f>
        <v/>
      </c>
      <c r="B456" s="32" t="n"/>
      <c r="C456" s="33" t="n"/>
      <c r="D456" s="33" t="n"/>
      <c r="E456" s="32" t="n"/>
      <c r="F456" s="32" t="n"/>
      <c r="G456" s="32" t="n"/>
      <c r="H456" s="34" t="n"/>
      <c r="I456" s="31">
        <f>IF(OR(H456="",B456=""),"",IF(OR(C456="Closed",C456="Resolved"),"-",Setup!$G$2-H456))</f>
        <v/>
      </c>
      <c r="J456" s="32" t="n"/>
      <c r="K456" s="32" t="n"/>
    </row>
    <row r="457" ht="15" customHeight="1" s="36">
      <c r="A457" s="31">
        <f>IF(B457="","","IT-"&amp;Setup!$F$2&amp;TEXT(ROW()-1,"0000"))</f>
        <v/>
      </c>
      <c r="B457" s="32" t="n"/>
      <c r="C457" s="33" t="n"/>
      <c r="D457" s="33" t="n"/>
      <c r="E457" s="32" t="n"/>
      <c r="F457" s="32" t="n"/>
      <c r="G457" s="32" t="n"/>
      <c r="H457" s="34" t="n"/>
      <c r="I457" s="31">
        <f>IF(OR(H457="",B457=""),"",IF(OR(C457="Closed",C457="Resolved"),"-",Setup!$G$2-H457))</f>
        <v/>
      </c>
      <c r="J457" s="32" t="n"/>
      <c r="K457" s="32" t="n"/>
    </row>
    <row r="458" ht="15" customHeight="1" s="36">
      <c r="A458" s="31">
        <f>IF(B458="","","IT-"&amp;Setup!$F$2&amp;TEXT(ROW()-1,"0000"))</f>
        <v/>
      </c>
      <c r="B458" s="32" t="n"/>
      <c r="C458" s="33" t="n"/>
      <c r="D458" s="33" t="n"/>
      <c r="E458" s="32" t="n"/>
      <c r="F458" s="32" t="n"/>
      <c r="G458" s="32" t="n"/>
      <c r="H458" s="34" t="n"/>
      <c r="I458" s="31">
        <f>IF(OR(H458="",B458=""),"",IF(OR(C458="Closed",C458="Resolved"),"-",Setup!$G$2-H458))</f>
        <v/>
      </c>
      <c r="J458" s="32" t="n"/>
      <c r="K458" s="32" t="n"/>
    </row>
    <row r="459" ht="15" customHeight="1" s="36">
      <c r="A459" s="31">
        <f>IF(B459="","","IT-"&amp;Setup!$F$2&amp;TEXT(ROW()-1,"0000"))</f>
        <v/>
      </c>
      <c r="B459" s="32" t="n"/>
      <c r="C459" s="33" t="n"/>
      <c r="D459" s="33" t="n"/>
      <c r="E459" s="32" t="n"/>
      <c r="F459" s="32" t="n"/>
      <c r="G459" s="32" t="n"/>
      <c r="H459" s="34" t="n"/>
      <c r="I459" s="31">
        <f>IF(OR(H459="",B459=""),"",IF(OR(C459="Closed",C459="Resolved"),"-",Setup!$G$2-H459))</f>
        <v/>
      </c>
      <c r="J459" s="32" t="n"/>
      <c r="K459" s="32" t="n"/>
    </row>
    <row r="460" ht="15" customHeight="1" s="36">
      <c r="A460" s="31">
        <f>IF(B460="","","IT-"&amp;Setup!$F$2&amp;TEXT(ROW()-1,"0000"))</f>
        <v/>
      </c>
      <c r="B460" s="32" t="n"/>
      <c r="C460" s="33" t="n"/>
      <c r="D460" s="33" t="n"/>
      <c r="E460" s="32" t="n"/>
      <c r="F460" s="32" t="n"/>
      <c r="G460" s="32" t="n"/>
      <c r="H460" s="34" t="n"/>
      <c r="I460" s="31">
        <f>IF(OR(H460="",B460=""),"",IF(OR(C460="Closed",C460="Resolved"),"-",Setup!$G$2-H460))</f>
        <v/>
      </c>
      <c r="J460" s="32" t="n"/>
      <c r="K460" s="32" t="n"/>
    </row>
    <row r="461" ht="15" customHeight="1" s="36">
      <c r="A461" s="31">
        <f>IF(B461="","","IT-"&amp;Setup!$F$2&amp;TEXT(ROW()-1,"0000"))</f>
        <v/>
      </c>
      <c r="B461" s="32" t="n"/>
      <c r="C461" s="33" t="n"/>
      <c r="D461" s="33" t="n"/>
      <c r="E461" s="32" t="n"/>
      <c r="F461" s="32" t="n"/>
      <c r="G461" s="32" t="n"/>
      <c r="H461" s="34" t="n"/>
      <c r="I461" s="31">
        <f>IF(OR(H461="",B461=""),"",IF(OR(C461="Closed",C461="Resolved"),"-",Setup!$G$2-H461))</f>
        <v/>
      </c>
      <c r="J461" s="32" t="n"/>
      <c r="K461" s="32" t="n"/>
    </row>
    <row r="462" ht="15" customHeight="1" s="36">
      <c r="A462" s="31">
        <f>IF(B462="","","IT-"&amp;Setup!$F$2&amp;TEXT(ROW()-1,"0000"))</f>
        <v/>
      </c>
      <c r="B462" s="32" t="n"/>
      <c r="C462" s="33" t="n"/>
      <c r="D462" s="33" t="n"/>
      <c r="E462" s="32" t="n"/>
      <c r="F462" s="32" t="n"/>
      <c r="G462" s="32" t="n"/>
      <c r="H462" s="34" t="n"/>
      <c r="I462" s="31">
        <f>IF(OR(H462="",B462=""),"",IF(OR(C462="Closed",C462="Resolved"),"-",Setup!$G$2-H462))</f>
        <v/>
      </c>
      <c r="J462" s="32" t="n"/>
      <c r="K462" s="32" t="n"/>
    </row>
    <row r="463" ht="15" customHeight="1" s="36">
      <c r="A463" s="31">
        <f>IF(B463="","","IT-"&amp;Setup!$F$2&amp;TEXT(ROW()-1,"0000"))</f>
        <v/>
      </c>
      <c r="B463" s="32" t="n"/>
      <c r="C463" s="33" t="n"/>
      <c r="D463" s="33" t="n"/>
      <c r="E463" s="32" t="n"/>
      <c r="F463" s="32" t="n"/>
      <c r="G463" s="32" t="n"/>
      <c r="H463" s="34" t="n"/>
      <c r="I463" s="31">
        <f>IF(OR(H463="",B463=""),"",IF(OR(C463="Closed",C463="Resolved"),"-",Setup!$G$2-H463))</f>
        <v/>
      </c>
      <c r="J463" s="32" t="n"/>
      <c r="K463" s="32" t="n"/>
    </row>
    <row r="464" ht="15" customHeight="1" s="36">
      <c r="A464" s="31">
        <f>IF(B464="","","IT-"&amp;Setup!$F$2&amp;TEXT(ROW()-1,"0000"))</f>
        <v/>
      </c>
      <c r="B464" s="32" t="n"/>
      <c r="C464" s="33" t="n"/>
      <c r="D464" s="33" t="n"/>
      <c r="E464" s="32" t="n"/>
      <c r="F464" s="32" t="n"/>
      <c r="G464" s="32" t="n"/>
      <c r="H464" s="34" t="n"/>
      <c r="I464" s="31">
        <f>IF(OR(H464="",B464=""),"",IF(OR(C464="Closed",C464="Resolved"),"-",Setup!$G$2-H464))</f>
        <v/>
      </c>
      <c r="J464" s="32" t="n"/>
      <c r="K464" s="32" t="n"/>
    </row>
    <row r="465" ht="15" customHeight="1" s="36">
      <c r="A465" s="31">
        <f>IF(B465="","","IT-"&amp;Setup!$F$2&amp;TEXT(ROW()-1,"0000"))</f>
        <v/>
      </c>
      <c r="B465" s="32" t="n"/>
      <c r="C465" s="33" t="n"/>
      <c r="D465" s="33" t="n"/>
      <c r="E465" s="32" t="n"/>
      <c r="F465" s="32" t="n"/>
      <c r="G465" s="32" t="n"/>
      <c r="H465" s="34" t="n"/>
      <c r="I465" s="31">
        <f>IF(OR(H465="",B465=""),"",IF(OR(C465="Closed",C465="Resolved"),"-",Setup!$G$2-H465))</f>
        <v/>
      </c>
      <c r="J465" s="32" t="n"/>
      <c r="K465" s="32" t="n"/>
    </row>
    <row r="466" ht="15" customHeight="1" s="36">
      <c r="A466" s="31">
        <f>IF(B466="","","IT-"&amp;Setup!$F$2&amp;TEXT(ROW()-1,"0000"))</f>
        <v/>
      </c>
      <c r="B466" s="32" t="n"/>
      <c r="C466" s="33" t="n"/>
      <c r="D466" s="33" t="n"/>
      <c r="E466" s="32" t="n"/>
      <c r="F466" s="32" t="n"/>
      <c r="G466" s="32" t="n"/>
      <c r="H466" s="34" t="n"/>
      <c r="I466" s="31">
        <f>IF(OR(H466="",B466=""),"",IF(OR(C466="Closed",C466="Resolved"),"-",Setup!$G$2-H466))</f>
        <v/>
      </c>
      <c r="J466" s="32" t="n"/>
      <c r="K466" s="32" t="n"/>
    </row>
    <row r="467" ht="15" customHeight="1" s="36">
      <c r="A467" s="31">
        <f>IF(B467="","","IT-"&amp;Setup!$F$2&amp;TEXT(ROW()-1,"0000"))</f>
        <v/>
      </c>
      <c r="B467" s="32" t="n"/>
      <c r="C467" s="33" t="n"/>
      <c r="D467" s="33" t="n"/>
      <c r="E467" s="32" t="n"/>
      <c r="F467" s="32" t="n"/>
      <c r="G467" s="32" t="n"/>
      <c r="H467" s="34" t="n"/>
      <c r="I467" s="31">
        <f>IF(OR(H467="",B467=""),"",IF(OR(C467="Closed",C467="Resolved"),"-",Setup!$G$2-H467))</f>
        <v/>
      </c>
      <c r="J467" s="32" t="n"/>
      <c r="K467" s="32" t="n"/>
    </row>
    <row r="468" ht="15" customHeight="1" s="36">
      <c r="A468" s="31">
        <f>IF(B468="","","IT-"&amp;Setup!$F$2&amp;TEXT(ROW()-1,"0000"))</f>
        <v/>
      </c>
      <c r="B468" s="32" t="n"/>
      <c r="C468" s="33" t="n"/>
      <c r="D468" s="33" t="n"/>
      <c r="E468" s="32" t="n"/>
      <c r="F468" s="32" t="n"/>
      <c r="G468" s="32" t="n"/>
      <c r="H468" s="34" t="n"/>
      <c r="I468" s="31">
        <f>IF(OR(H468="",B468=""),"",IF(OR(C468="Closed",C468="Resolved"),"-",Setup!$G$2-H468))</f>
        <v/>
      </c>
      <c r="J468" s="32" t="n"/>
      <c r="K468" s="32" t="n"/>
    </row>
    <row r="469" ht="15" customHeight="1" s="36">
      <c r="A469" s="31">
        <f>IF(B469="","","IT-"&amp;Setup!$F$2&amp;TEXT(ROW()-1,"0000"))</f>
        <v/>
      </c>
      <c r="B469" s="32" t="n"/>
      <c r="C469" s="33" t="n"/>
      <c r="D469" s="33" t="n"/>
      <c r="E469" s="32" t="n"/>
      <c r="F469" s="32" t="n"/>
      <c r="G469" s="32" t="n"/>
      <c r="H469" s="34" t="n"/>
      <c r="I469" s="31">
        <f>IF(OR(H469="",B469=""),"",IF(OR(C469="Closed",C469="Resolved"),"-",Setup!$G$2-H469))</f>
        <v/>
      </c>
      <c r="J469" s="32" t="n"/>
      <c r="K469" s="32" t="n"/>
    </row>
    <row r="470" ht="15" customHeight="1" s="36">
      <c r="A470" s="31">
        <f>IF(B470="","","IT-"&amp;Setup!$F$2&amp;TEXT(ROW()-1,"0000"))</f>
        <v/>
      </c>
      <c r="B470" s="32" t="n"/>
      <c r="C470" s="33" t="n"/>
      <c r="D470" s="33" t="n"/>
      <c r="E470" s="32" t="n"/>
      <c r="F470" s="32" t="n"/>
      <c r="G470" s="32" t="n"/>
      <c r="H470" s="34" t="n"/>
      <c r="I470" s="31">
        <f>IF(OR(H470="",B470=""),"",IF(OR(C470="Closed",C470="Resolved"),"-",Setup!$G$2-H470))</f>
        <v/>
      </c>
      <c r="J470" s="32" t="n"/>
      <c r="K470" s="32" t="n"/>
    </row>
    <row r="471" ht="15" customHeight="1" s="36">
      <c r="A471" s="31">
        <f>IF(B471="","","IT-"&amp;Setup!$F$2&amp;TEXT(ROW()-1,"0000"))</f>
        <v/>
      </c>
      <c r="B471" s="32" t="n"/>
      <c r="C471" s="33" t="n"/>
      <c r="D471" s="33" t="n"/>
      <c r="E471" s="32" t="n"/>
      <c r="F471" s="32" t="n"/>
      <c r="G471" s="32" t="n"/>
      <c r="H471" s="34" t="n"/>
      <c r="I471" s="31">
        <f>IF(OR(H471="",B471=""),"",IF(OR(C471="Closed",C471="Resolved"),"-",Setup!$G$2-H471))</f>
        <v/>
      </c>
      <c r="J471" s="32" t="n"/>
      <c r="K471" s="32" t="n"/>
    </row>
    <row r="472" ht="15" customHeight="1" s="36">
      <c r="A472" s="31">
        <f>IF(B472="","","IT-"&amp;Setup!$F$2&amp;TEXT(ROW()-1,"0000"))</f>
        <v/>
      </c>
      <c r="B472" s="32" t="n"/>
      <c r="C472" s="33" t="n"/>
      <c r="D472" s="33" t="n"/>
      <c r="E472" s="32" t="n"/>
      <c r="F472" s="32" t="n"/>
      <c r="G472" s="32" t="n"/>
      <c r="H472" s="34" t="n"/>
      <c r="I472" s="31">
        <f>IF(OR(H472="",B472=""),"",IF(OR(C472="Closed",C472="Resolved"),"-",Setup!$G$2-H472))</f>
        <v/>
      </c>
      <c r="J472" s="32" t="n"/>
      <c r="K472" s="32" t="n"/>
    </row>
    <row r="473" ht="15" customHeight="1" s="36">
      <c r="A473" s="31">
        <f>IF(B473="","","IT-"&amp;Setup!$F$2&amp;TEXT(ROW()-1,"0000"))</f>
        <v/>
      </c>
      <c r="B473" s="32" t="n"/>
      <c r="C473" s="33" t="n"/>
      <c r="D473" s="33" t="n"/>
      <c r="E473" s="32" t="n"/>
      <c r="F473" s="32" t="n"/>
      <c r="G473" s="32" t="n"/>
      <c r="H473" s="34" t="n"/>
      <c r="I473" s="31">
        <f>IF(OR(H473="",B473=""),"",IF(OR(C473="Closed",C473="Resolved"),"-",Setup!$G$2-H473))</f>
        <v/>
      </c>
      <c r="J473" s="32" t="n"/>
      <c r="K473" s="32" t="n"/>
    </row>
    <row r="474" ht="15" customHeight="1" s="36">
      <c r="A474" s="31">
        <f>IF(B474="","","IT-"&amp;Setup!$F$2&amp;TEXT(ROW()-1,"0000"))</f>
        <v/>
      </c>
      <c r="B474" s="32" t="n"/>
      <c r="C474" s="33" t="n"/>
      <c r="D474" s="33" t="n"/>
      <c r="E474" s="32" t="n"/>
      <c r="F474" s="32" t="n"/>
      <c r="G474" s="32" t="n"/>
      <c r="H474" s="34" t="n"/>
      <c r="I474" s="31">
        <f>IF(OR(H474="",B474=""),"",IF(OR(C474="Closed",C474="Resolved"),"-",Setup!$G$2-H474))</f>
        <v/>
      </c>
      <c r="J474" s="32" t="n"/>
      <c r="K474" s="32" t="n"/>
    </row>
    <row r="475" ht="15" customHeight="1" s="36">
      <c r="A475" s="31">
        <f>IF(B475="","","IT-"&amp;Setup!$F$2&amp;TEXT(ROW()-1,"0000"))</f>
        <v/>
      </c>
      <c r="B475" s="32" t="n"/>
      <c r="C475" s="33" t="n"/>
      <c r="D475" s="33" t="n"/>
      <c r="E475" s="32" t="n"/>
      <c r="F475" s="32" t="n"/>
      <c r="G475" s="32" t="n"/>
      <c r="H475" s="34" t="n"/>
      <c r="I475" s="31">
        <f>IF(OR(H475="",B475=""),"",IF(OR(C475="Closed",C475="Resolved"),"-",Setup!$G$2-H475))</f>
        <v/>
      </c>
      <c r="J475" s="32" t="n"/>
      <c r="K475" s="32" t="n"/>
    </row>
    <row r="476" ht="15" customHeight="1" s="36">
      <c r="A476" s="31">
        <f>IF(B476="","","IT-"&amp;Setup!$F$2&amp;TEXT(ROW()-1,"0000"))</f>
        <v/>
      </c>
      <c r="B476" s="32" t="n"/>
      <c r="C476" s="33" t="n"/>
      <c r="D476" s="33" t="n"/>
      <c r="E476" s="32" t="n"/>
      <c r="F476" s="32" t="n"/>
      <c r="G476" s="32" t="n"/>
      <c r="H476" s="34" t="n"/>
      <c r="I476" s="31">
        <f>IF(OR(H476="",B476=""),"",IF(OR(C476="Closed",C476="Resolved"),"-",Setup!$G$2-H476))</f>
        <v/>
      </c>
      <c r="J476" s="32" t="n"/>
      <c r="K476" s="32" t="n"/>
    </row>
    <row r="477" ht="15" customHeight="1" s="36">
      <c r="A477" s="31">
        <f>IF(B477="","","IT-"&amp;Setup!$F$2&amp;TEXT(ROW()-1,"0000"))</f>
        <v/>
      </c>
      <c r="B477" s="32" t="n"/>
      <c r="C477" s="33" t="n"/>
      <c r="D477" s="33" t="n"/>
      <c r="E477" s="32" t="n"/>
      <c r="F477" s="32" t="n"/>
      <c r="G477" s="32" t="n"/>
      <c r="H477" s="34" t="n"/>
      <c r="I477" s="31">
        <f>IF(OR(H477="",B477=""),"",IF(OR(C477="Closed",C477="Resolved"),"-",Setup!$G$2-H477))</f>
        <v/>
      </c>
      <c r="J477" s="32" t="n"/>
      <c r="K477" s="32" t="n"/>
    </row>
    <row r="478" ht="15" customHeight="1" s="36">
      <c r="A478" s="31">
        <f>IF(B478="","","IT-"&amp;Setup!$F$2&amp;TEXT(ROW()-1,"0000"))</f>
        <v/>
      </c>
      <c r="B478" s="32" t="n"/>
      <c r="C478" s="33" t="n"/>
      <c r="D478" s="33" t="n"/>
      <c r="E478" s="32" t="n"/>
      <c r="F478" s="32" t="n"/>
      <c r="G478" s="32" t="n"/>
      <c r="H478" s="34" t="n"/>
      <c r="I478" s="31">
        <f>IF(OR(H478="",B478=""),"",IF(OR(C478="Closed",C478="Resolved"),"-",Setup!$G$2-H478))</f>
        <v/>
      </c>
      <c r="J478" s="32" t="n"/>
      <c r="K478" s="32" t="n"/>
    </row>
    <row r="479" ht="15" customHeight="1" s="36">
      <c r="A479" s="31">
        <f>IF(B479="","","IT-"&amp;Setup!$F$2&amp;TEXT(ROW()-1,"0000"))</f>
        <v/>
      </c>
      <c r="B479" s="32" t="n"/>
      <c r="C479" s="33" t="n"/>
      <c r="D479" s="33" t="n"/>
      <c r="E479" s="32" t="n"/>
      <c r="F479" s="32" t="n"/>
      <c r="G479" s="32" t="n"/>
      <c r="H479" s="34" t="n"/>
      <c r="I479" s="31">
        <f>IF(OR(H479="",B479=""),"",IF(OR(C479="Closed",C479="Resolved"),"-",Setup!$G$2-H479))</f>
        <v/>
      </c>
      <c r="J479" s="32" t="n"/>
      <c r="K479" s="32" t="n"/>
    </row>
    <row r="480" ht="15" customHeight="1" s="36">
      <c r="A480" s="31">
        <f>IF(B480="","","IT-"&amp;Setup!$F$2&amp;TEXT(ROW()-1,"0000"))</f>
        <v/>
      </c>
      <c r="B480" s="32" t="n"/>
      <c r="C480" s="33" t="n"/>
      <c r="D480" s="33" t="n"/>
      <c r="E480" s="32" t="n"/>
      <c r="F480" s="32" t="n"/>
      <c r="G480" s="32" t="n"/>
      <c r="H480" s="34" t="n"/>
      <c r="I480" s="31">
        <f>IF(OR(H480="",B480=""),"",IF(OR(C480="Closed",C480="Resolved"),"-",Setup!$G$2-H480))</f>
        <v/>
      </c>
      <c r="J480" s="32" t="n"/>
      <c r="K480" s="32" t="n"/>
    </row>
    <row r="481" ht="15" customHeight="1" s="36">
      <c r="A481" s="31">
        <f>IF(B481="","","IT-"&amp;Setup!$F$2&amp;TEXT(ROW()-1,"0000"))</f>
        <v/>
      </c>
      <c r="B481" s="32" t="n"/>
      <c r="C481" s="33" t="n"/>
      <c r="D481" s="33" t="n"/>
      <c r="E481" s="32" t="n"/>
      <c r="F481" s="32" t="n"/>
      <c r="G481" s="32" t="n"/>
      <c r="H481" s="34" t="n"/>
      <c r="I481" s="31">
        <f>IF(OR(H481="",B481=""),"",IF(OR(C481="Closed",C481="Resolved"),"-",Setup!$G$2-H481))</f>
        <v/>
      </c>
      <c r="J481" s="32" t="n"/>
      <c r="K481" s="32" t="n"/>
    </row>
    <row r="482" ht="15" customHeight="1" s="36">
      <c r="A482" s="31">
        <f>IF(B482="","","IT-"&amp;Setup!$F$2&amp;TEXT(ROW()-1,"0000"))</f>
        <v/>
      </c>
      <c r="B482" s="32" t="n"/>
      <c r="C482" s="33" t="n"/>
      <c r="D482" s="33" t="n"/>
      <c r="E482" s="32" t="n"/>
      <c r="F482" s="32" t="n"/>
      <c r="G482" s="32" t="n"/>
      <c r="H482" s="34" t="n"/>
      <c r="I482" s="31">
        <f>IF(OR(H482="",B482=""),"",IF(OR(C482="Closed",C482="Resolved"),"-",Setup!$G$2-H482))</f>
        <v/>
      </c>
      <c r="J482" s="32" t="n"/>
      <c r="K482" s="32" t="n"/>
    </row>
    <row r="483" ht="15" customHeight="1" s="36">
      <c r="A483" s="31">
        <f>IF(B483="","","IT-"&amp;Setup!$F$2&amp;TEXT(ROW()-1,"0000"))</f>
        <v/>
      </c>
      <c r="B483" s="32" t="n"/>
      <c r="C483" s="33" t="n"/>
      <c r="D483" s="33" t="n"/>
      <c r="E483" s="32" t="n"/>
      <c r="F483" s="32" t="n"/>
      <c r="G483" s="32" t="n"/>
      <c r="H483" s="34" t="n"/>
      <c r="I483" s="31">
        <f>IF(OR(H483="",B483=""),"",IF(OR(C483="Closed",C483="Resolved"),"-",Setup!$G$2-H483))</f>
        <v/>
      </c>
      <c r="J483" s="32" t="n"/>
      <c r="K483" s="32" t="n"/>
    </row>
    <row r="484" ht="15" customHeight="1" s="36">
      <c r="A484" s="31">
        <f>IF(B484="","","IT-"&amp;Setup!$F$2&amp;TEXT(ROW()-1,"0000"))</f>
        <v/>
      </c>
      <c r="B484" s="32" t="n"/>
      <c r="C484" s="33" t="n"/>
      <c r="D484" s="33" t="n"/>
      <c r="E484" s="32" t="n"/>
      <c r="F484" s="32" t="n"/>
      <c r="G484" s="32" t="n"/>
      <c r="H484" s="34" t="n"/>
      <c r="I484" s="31">
        <f>IF(OR(H484="",B484=""),"",IF(OR(C484="Closed",C484="Resolved"),"-",Setup!$G$2-H484))</f>
        <v/>
      </c>
      <c r="J484" s="32" t="n"/>
      <c r="K484" s="32" t="n"/>
    </row>
    <row r="485" ht="15" customHeight="1" s="36">
      <c r="A485" s="31">
        <f>IF(B485="","","IT-"&amp;Setup!$F$2&amp;TEXT(ROW()-1,"0000"))</f>
        <v/>
      </c>
      <c r="B485" s="32" t="n"/>
      <c r="C485" s="33" t="n"/>
      <c r="D485" s="33" t="n"/>
      <c r="E485" s="32" t="n"/>
      <c r="F485" s="32" t="n"/>
      <c r="G485" s="32" t="n"/>
      <c r="H485" s="34" t="n"/>
      <c r="I485" s="31">
        <f>IF(OR(H485="",B485=""),"",IF(OR(C485="Closed",C485="Resolved"),"-",Setup!$G$2-H485))</f>
        <v/>
      </c>
      <c r="J485" s="32" t="n"/>
      <c r="K485" s="32" t="n"/>
    </row>
    <row r="486" ht="15" customHeight="1" s="36">
      <c r="A486" s="31">
        <f>IF(B486="","","IT-"&amp;Setup!$F$2&amp;TEXT(ROW()-1,"0000"))</f>
        <v/>
      </c>
      <c r="B486" s="32" t="n"/>
      <c r="C486" s="33" t="n"/>
      <c r="D486" s="33" t="n"/>
      <c r="E486" s="32" t="n"/>
      <c r="F486" s="32" t="n"/>
      <c r="G486" s="32" t="n"/>
      <c r="H486" s="34" t="n"/>
      <c r="I486" s="31">
        <f>IF(OR(H486="",B486=""),"",IF(OR(C486="Closed",C486="Resolved"),"-",Setup!$G$2-H486))</f>
        <v/>
      </c>
      <c r="J486" s="32" t="n"/>
      <c r="K486" s="32" t="n"/>
    </row>
    <row r="487" ht="15" customHeight="1" s="36">
      <c r="A487" s="31">
        <f>IF(B487="","","IT-"&amp;Setup!$F$2&amp;TEXT(ROW()-1,"0000"))</f>
        <v/>
      </c>
      <c r="B487" s="32" t="n"/>
      <c r="C487" s="33" t="n"/>
      <c r="D487" s="33" t="n"/>
      <c r="E487" s="32" t="n"/>
      <c r="F487" s="32" t="n"/>
      <c r="G487" s="32" t="n"/>
      <c r="H487" s="34" t="n"/>
      <c r="I487" s="31">
        <f>IF(OR(H487="",B487=""),"",IF(OR(C487="Closed",C487="Resolved"),"-",Setup!$G$2-H487))</f>
        <v/>
      </c>
      <c r="J487" s="32" t="n"/>
      <c r="K487" s="32" t="n"/>
    </row>
    <row r="488" ht="15" customHeight="1" s="36">
      <c r="A488" s="31">
        <f>IF(B488="","","IT-"&amp;Setup!$F$2&amp;TEXT(ROW()-1,"0000"))</f>
        <v/>
      </c>
      <c r="B488" s="32" t="n"/>
      <c r="C488" s="33" t="n"/>
      <c r="D488" s="33" t="n"/>
      <c r="E488" s="32" t="n"/>
      <c r="F488" s="32" t="n"/>
      <c r="G488" s="32" t="n"/>
      <c r="H488" s="34" t="n"/>
      <c r="I488" s="31">
        <f>IF(OR(H488="",B488=""),"",IF(OR(C488="Closed",C488="Resolved"),"-",Setup!$G$2-H488))</f>
        <v/>
      </c>
      <c r="J488" s="32" t="n"/>
      <c r="K488" s="32" t="n"/>
    </row>
    <row r="489" ht="15" customHeight="1" s="36">
      <c r="A489" s="31">
        <f>IF(B489="","","IT-"&amp;Setup!$F$2&amp;TEXT(ROW()-1,"0000"))</f>
        <v/>
      </c>
      <c r="B489" s="32" t="n"/>
      <c r="C489" s="33" t="n"/>
      <c r="D489" s="33" t="n"/>
      <c r="E489" s="32" t="n"/>
      <c r="F489" s="32" t="n"/>
      <c r="G489" s="32" t="n"/>
      <c r="H489" s="34" t="n"/>
      <c r="I489" s="31">
        <f>IF(OR(H489="",B489=""),"",IF(OR(C489="Closed",C489="Resolved"),"-",Setup!$G$2-H489))</f>
        <v/>
      </c>
      <c r="J489" s="32" t="n"/>
      <c r="K489" s="32" t="n"/>
    </row>
    <row r="490" ht="15" customHeight="1" s="36">
      <c r="A490" s="31">
        <f>IF(B490="","","IT-"&amp;Setup!$F$2&amp;TEXT(ROW()-1,"0000"))</f>
        <v/>
      </c>
      <c r="B490" s="32" t="n"/>
      <c r="C490" s="33" t="n"/>
      <c r="D490" s="33" t="n"/>
      <c r="E490" s="32" t="n"/>
      <c r="F490" s="32" t="n"/>
      <c r="G490" s="32" t="n"/>
      <c r="H490" s="34" t="n"/>
      <c r="I490" s="31">
        <f>IF(OR(H490="",B490=""),"",IF(OR(C490="Closed",C490="Resolved"),"-",Setup!$G$2-H490))</f>
        <v/>
      </c>
      <c r="J490" s="32" t="n"/>
      <c r="K490" s="32" t="n"/>
    </row>
    <row r="491" ht="15" customHeight="1" s="36">
      <c r="A491" s="31">
        <f>IF(B491="","","IT-"&amp;Setup!$F$2&amp;TEXT(ROW()-1,"0000"))</f>
        <v/>
      </c>
      <c r="B491" s="32" t="n"/>
      <c r="C491" s="33" t="n"/>
      <c r="D491" s="33" t="n"/>
      <c r="E491" s="32" t="n"/>
      <c r="F491" s="32" t="n"/>
      <c r="G491" s="32" t="n"/>
      <c r="H491" s="34" t="n"/>
      <c r="I491" s="31">
        <f>IF(OR(H491="",B491=""),"",IF(OR(C491="Closed",C491="Resolved"),"-",Setup!$G$2-H491))</f>
        <v/>
      </c>
      <c r="J491" s="32" t="n"/>
      <c r="K491" s="32" t="n"/>
    </row>
    <row r="492" ht="15" customHeight="1" s="36">
      <c r="A492" s="31">
        <f>IF(B492="","","IT-"&amp;Setup!$F$2&amp;TEXT(ROW()-1,"0000"))</f>
        <v/>
      </c>
      <c r="B492" s="32" t="n"/>
      <c r="C492" s="33" t="n"/>
      <c r="D492" s="33" t="n"/>
      <c r="E492" s="32" t="n"/>
      <c r="F492" s="32" t="n"/>
      <c r="G492" s="32" t="n"/>
      <c r="H492" s="34" t="n"/>
      <c r="I492" s="31">
        <f>IF(OR(H492="",B492=""),"",IF(OR(C492="Closed",C492="Resolved"),"-",Setup!$G$2-H492))</f>
        <v/>
      </c>
      <c r="J492" s="32" t="n"/>
      <c r="K492" s="32" t="n"/>
    </row>
    <row r="493" ht="15" customHeight="1" s="36">
      <c r="A493" s="31">
        <f>IF(B493="","","IT-"&amp;Setup!$F$2&amp;TEXT(ROW()-1,"0000"))</f>
        <v/>
      </c>
      <c r="B493" s="32" t="n"/>
      <c r="C493" s="33" t="n"/>
      <c r="D493" s="33" t="n"/>
      <c r="E493" s="32" t="n"/>
      <c r="F493" s="32" t="n"/>
      <c r="G493" s="32" t="n"/>
      <c r="H493" s="34" t="n"/>
      <c r="I493" s="31">
        <f>IF(OR(H493="",B493=""),"",IF(OR(C493="Closed",C493="Resolved"),"-",Setup!$G$2-H493))</f>
        <v/>
      </c>
      <c r="J493" s="32" t="n"/>
      <c r="K493" s="32" t="n"/>
    </row>
    <row r="494" ht="15" customHeight="1" s="36">
      <c r="A494" s="31">
        <f>IF(B494="","","IT-"&amp;Setup!$F$2&amp;TEXT(ROW()-1,"0000"))</f>
        <v/>
      </c>
      <c r="B494" s="32" t="n"/>
      <c r="C494" s="33" t="n"/>
      <c r="D494" s="33" t="n"/>
      <c r="E494" s="32" t="n"/>
      <c r="F494" s="32" t="n"/>
      <c r="G494" s="32" t="n"/>
      <c r="H494" s="34" t="n"/>
      <c r="I494" s="31">
        <f>IF(OR(H494="",B494=""),"",IF(OR(C494="Closed",C494="Resolved"),"-",Setup!$G$2-H494))</f>
        <v/>
      </c>
      <c r="J494" s="32" t="n"/>
      <c r="K494" s="32" t="n"/>
    </row>
    <row r="495" ht="15" customHeight="1" s="36">
      <c r="A495" s="31">
        <f>IF(B495="","","IT-"&amp;Setup!$F$2&amp;TEXT(ROW()-1,"0000"))</f>
        <v/>
      </c>
      <c r="B495" s="32" t="n"/>
      <c r="C495" s="33" t="n"/>
      <c r="D495" s="33" t="n"/>
      <c r="E495" s="32" t="n"/>
      <c r="F495" s="32" t="n"/>
      <c r="G495" s="32" t="n"/>
      <c r="H495" s="34" t="n"/>
      <c r="I495" s="31">
        <f>IF(OR(H495="",B495=""),"",IF(OR(C495="Closed",C495="Resolved"),"-",Setup!$G$2-H495))</f>
        <v/>
      </c>
      <c r="J495" s="32" t="n"/>
      <c r="K495" s="32" t="n"/>
    </row>
    <row r="496" ht="15" customHeight="1" s="36">
      <c r="A496" s="31">
        <f>IF(B496="","","IT-"&amp;Setup!$F$2&amp;TEXT(ROW()-1,"0000"))</f>
        <v/>
      </c>
      <c r="B496" s="32" t="n"/>
      <c r="C496" s="33" t="n"/>
      <c r="D496" s="33" t="n"/>
      <c r="E496" s="32" t="n"/>
      <c r="F496" s="32" t="n"/>
      <c r="G496" s="32" t="n"/>
      <c r="H496" s="34" t="n"/>
      <c r="I496" s="31">
        <f>IF(OR(H496="",B496=""),"",IF(OR(C496="Closed",C496="Resolved"),"-",Setup!$G$2-H496))</f>
        <v/>
      </c>
      <c r="J496" s="32" t="n"/>
      <c r="K496" s="32" t="n"/>
    </row>
    <row r="497" ht="15" customHeight="1" s="36">
      <c r="A497" s="31">
        <f>IF(B497="","","IT-"&amp;Setup!$F$2&amp;TEXT(ROW()-1,"0000"))</f>
        <v/>
      </c>
      <c r="B497" s="32" t="n"/>
      <c r="C497" s="33" t="n"/>
      <c r="D497" s="33" t="n"/>
      <c r="E497" s="32" t="n"/>
      <c r="F497" s="32" t="n"/>
      <c r="G497" s="32" t="n"/>
      <c r="H497" s="34" t="n"/>
      <c r="I497" s="31">
        <f>IF(OR(H497="",B497=""),"",IF(OR(C497="Closed",C497="Resolved"),"-",Setup!$G$2-H497))</f>
        <v/>
      </c>
      <c r="J497" s="32" t="n"/>
      <c r="K497" s="32" t="n"/>
    </row>
    <row r="498" ht="15" customHeight="1" s="36">
      <c r="A498" s="31">
        <f>IF(B498="","","IT-"&amp;Setup!$F$2&amp;TEXT(ROW()-1,"0000"))</f>
        <v/>
      </c>
      <c r="B498" s="32" t="n"/>
      <c r="C498" s="33" t="n"/>
      <c r="D498" s="33" t="n"/>
      <c r="E498" s="32" t="n"/>
      <c r="F498" s="32" t="n"/>
      <c r="G498" s="32" t="n"/>
      <c r="H498" s="34" t="n"/>
      <c r="I498" s="31">
        <f>IF(OR(H498="",B498=""),"",IF(OR(C498="Closed",C498="Resolved"),"-",Setup!$G$2-H498))</f>
        <v/>
      </c>
      <c r="J498" s="32" t="n"/>
      <c r="K498" s="32" t="n"/>
    </row>
    <row r="499" ht="15" customHeight="1" s="36">
      <c r="A499" s="31">
        <f>IF(B499="","","IT-"&amp;Setup!$F$2&amp;TEXT(ROW()-1,"0000"))</f>
        <v/>
      </c>
      <c r="B499" s="32" t="n"/>
      <c r="C499" s="33" t="n"/>
      <c r="D499" s="33" t="n"/>
      <c r="E499" s="32" t="n"/>
      <c r="F499" s="32" t="n"/>
      <c r="G499" s="32" t="n"/>
      <c r="H499" s="34" t="n"/>
      <c r="I499" s="31">
        <f>IF(OR(H499="",B499=""),"",IF(OR(C499="Closed",C499="Resolved"),"-",Setup!$G$2-H499))</f>
        <v/>
      </c>
      <c r="J499" s="32" t="n"/>
      <c r="K499" s="32" t="n"/>
    </row>
    <row r="500" ht="15" customHeight="1" s="36">
      <c r="A500" s="31">
        <f>IF(B500="","","IT-"&amp;Setup!$F$2&amp;TEXT(ROW()-1,"0000"))</f>
        <v/>
      </c>
      <c r="B500" s="32" t="n"/>
      <c r="C500" s="33" t="n"/>
      <c r="D500" s="33" t="n"/>
      <c r="E500" s="32" t="n"/>
      <c r="F500" s="32" t="n"/>
      <c r="G500" s="32" t="n"/>
      <c r="H500" s="34" t="n"/>
      <c r="I500" s="31">
        <f>IF(OR(H500="",B500=""),"",IF(OR(C500="Closed",C500="Resolved"),"-",Setup!$G$2-H500))</f>
        <v/>
      </c>
      <c r="J500" s="32" t="n"/>
      <c r="K500" s="32" t="n"/>
    </row>
    <row r="501" ht="15" customHeight="1" s="36">
      <c r="A501" s="31">
        <f>IF(B501="","","IT-"&amp;Setup!$F$2&amp;TEXT(ROW()-1,"0000"))</f>
        <v/>
      </c>
      <c r="B501" s="32" t="n"/>
      <c r="C501" s="33" t="n"/>
      <c r="D501" s="33" t="n"/>
      <c r="E501" s="32" t="n"/>
      <c r="F501" s="32" t="n"/>
      <c r="G501" s="32" t="n"/>
      <c r="H501" s="34" t="n"/>
      <c r="I501" s="31">
        <f>IF(OR(H501="",B501=""),"",IF(OR(C501="Closed",C501="Resolved"),"-",Setup!$G$2-H501))</f>
        <v/>
      </c>
      <c r="J501" s="32" t="n"/>
      <c r="K501" s="32" t="n"/>
    </row>
  </sheetData>
  <autoFilter ref="A1:K501"/>
  <conditionalFormatting sqref="C2:C501">
    <cfRule type="cellIs" priority="2" operator="equal" dxfId="2">
      <formula>"Closed"</formula>
    </cfRule>
    <cfRule type="cellIs" priority="3" operator="equal" dxfId="8">
      <formula>"Resolved"</formula>
    </cfRule>
    <cfRule type="cellIs" priority="4" operator="equal" dxfId="3">
      <formula>"In Progress"</formula>
    </cfRule>
    <cfRule type="cellIs" priority="5" operator="equal" dxfId="4">
      <formula>"Waiting for Info"</formula>
    </cfRule>
  </conditionalFormatting>
  <conditionalFormatting sqref="D2:D501">
    <cfRule type="cellIs" priority="6" operator="equal" dxfId="5">
      <formula>"Critical"</formula>
    </cfRule>
    <cfRule type="cellIs" priority="7" operator="equal" dxfId="4">
      <formula>"High"</formula>
    </cfRule>
    <cfRule type="cellIs" priority="8" operator="equal" dxfId="3">
      <formula>"Medium"</formula>
    </cfRule>
    <cfRule type="cellIs" priority="9" operator="equal" dxfId="2">
      <formula>"Low"</formula>
    </cfRule>
  </conditionalFormatting>
  <conditionalFormatting sqref="I2:I501">
    <cfRule type="expression" priority="10" dxfId="1">
      <formula>AND(ISNUMBER(I2),I2&gt;7)</formula>
    </cfRule>
    <cfRule type="expression" priority="11" dxfId="0">
      <formula>AND(ISNUMBER(I2),I2&gt;3,I2&lt;=7)</formula>
    </cfRule>
  </conditionalFormatting>
  <dataValidations count="4">
    <dataValidation sqref="C2:C501" showDropDown="0" showInputMessage="0" showErrorMessage="0" allowBlank="1" type="list">
      <formula1>StatusList</formula1>
      <formula2>0</formula2>
    </dataValidation>
    <dataValidation sqref="D2:D501" showDropDown="0" showInputMessage="0" showErrorMessage="0" allowBlank="1" type="list">
      <formula1>PriorityList</formula1>
      <formula2>0</formula2>
    </dataValidation>
    <dataValidation sqref="E2:E501" showDropDown="0" showInputMessage="0" showErrorMessage="0" allowBlank="1" type="list">
      <formula1>RequestTypeList</formula1>
      <formula2>0</formula2>
    </dataValidation>
    <dataValidation sqref="F2:F501" showDropDown="0" showInputMessage="0" showErrorMessage="0" allowBlank="1" type="list">
      <formula1>StaffList</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L63"/>
  <sheetViews>
    <sheetView zoomScaleNormal="100" workbookViewId="0">
      <selection activeCell="H17" sqref="H17"/>
    </sheetView>
  </sheetViews>
  <sheetFormatPr baseColWidth="10" defaultColWidth="8.6640625" defaultRowHeight="15"/>
  <cols>
    <col width="3" customWidth="1" style="36" min="1" max="1"/>
    <col width="20" customWidth="1" style="36" min="2" max="2"/>
    <col width="12" customWidth="1" style="36" min="3" max="4"/>
    <col width="3" customWidth="1" style="36" min="5" max="5"/>
    <col width="20" customWidth="1" style="36" min="6" max="6"/>
    <col width="12" customWidth="1" style="36" min="7" max="8"/>
    <col width="3" customWidth="1" style="36" min="9" max="9"/>
    <col width="20" customWidth="1" style="36" min="10" max="10"/>
    <col width="12" customWidth="1" style="36" min="11" max="12"/>
  </cols>
  <sheetData>
    <row r="2" ht="21" customHeight="1" s="36">
      <c r="B2" s="39" t="inlineStr">
        <is>
          <t>IT SERVICE TICKETS - VISUAL ANALYTICS</t>
        </is>
      </c>
    </row>
    <row r="4">
      <c r="B4" s="27" t="inlineStr">
        <is>
          <t>* All charts update automatically when new tickets are added to the IT Service Tickets sheet</t>
        </is>
      </c>
    </row>
    <row r="5" ht="18" customHeight="1" s="36">
      <c r="B5" s="38" t="inlineStr">
        <is>
          <t>STATUS DISTRIBUTION</t>
        </is>
      </c>
      <c r="F5" s="38" t="inlineStr">
        <is>
          <t>PRIORITY DISTRIBUTION</t>
        </is>
      </c>
      <c r="J5" s="38" t="inlineStr">
        <is>
          <t>REQUEST TYPE BREAKDOWN</t>
        </is>
      </c>
    </row>
    <row r="6">
      <c r="B6" s="28" t="inlineStr">
        <is>
          <t>Status</t>
        </is>
      </c>
      <c r="C6" s="28" t="inlineStr">
        <is>
          <t>Count</t>
        </is>
      </c>
      <c r="F6" s="28" t="inlineStr">
        <is>
          <t>Priority</t>
        </is>
      </c>
      <c r="G6" s="28" t="inlineStr">
        <is>
          <t>Count</t>
        </is>
      </c>
      <c r="J6" s="28" t="inlineStr">
        <is>
          <t>Request Type</t>
        </is>
      </c>
      <c r="K6" s="28" t="inlineStr">
        <is>
          <t>Total</t>
        </is>
      </c>
      <c r="L6" s="28" t="inlineStr">
        <is>
          <t>Open</t>
        </is>
      </c>
    </row>
    <row r="7">
      <c r="B7" s="16" t="inlineStr">
        <is>
          <t>Closed</t>
        </is>
      </c>
      <c r="C7" s="16">
        <f>COUNTIF('IT Service Tickets'!C:C,"Closed")</f>
        <v/>
      </c>
      <c r="F7" s="16" t="inlineStr">
        <is>
          <t>Critical</t>
        </is>
      </c>
      <c r="G7" s="16">
        <f>COUNTIF('IT Service Tickets'!D:D,"Critical")</f>
        <v/>
      </c>
      <c r="J7" s="16" t="inlineStr">
        <is>
          <t>Software Issues</t>
        </is>
      </c>
      <c r="K7" s="16">
        <f>COUNTIF('IT Service Tickets'!E:E,"Software Issues")</f>
        <v/>
      </c>
      <c r="L7" s="16">
        <f>COUNTIFS('IT Service Tickets'!E:E,"Software Issues",'IT Service Tickets'!C:C,"&lt;&gt;Closed",'IT Service Tickets'!C:C,"&lt;&gt;Resolved")</f>
        <v/>
      </c>
    </row>
    <row r="8">
      <c r="B8" s="16" t="inlineStr">
        <is>
          <t>Resolved</t>
        </is>
      </c>
      <c r="C8" s="16">
        <f>COUNTIF('IT Service Tickets'!C:C,"Resolved")</f>
        <v/>
      </c>
      <c r="F8" s="16" t="inlineStr">
        <is>
          <t>High</t>
        </is>
      </c>
      <c r="G8" s="16">
        <f>COUNTIF('IT Service Tickets'!D:D,"High")</f>
        <v/>
      </c>
      <c r="J8" s="16" t="inlineStr">
        <is>
          <t>Network Problems</t>
        </is>
      </c>
      <c r="K8" s="16">
        <f>COUNTIF('IT Service Tickets'!E:E,"Network Problems")</f>
        <v/>
      </c>
      <c r="L8" s="16">
        <f>COUNTIFS('IT Service Tickets'!E:E,"Network Problems",'IT Service Tickets'!C:C,"&lt;&gt;Closed",'IT Service Tickets'!C:C,"&lt;&gt;Resolved")</f>
        <v/>
      </c>
    </row>
    <row r="9">
      <c r="B9" s="16" t="inlineStr">
        <is>
          <t>In Progress</t>
        </is>
      </c>
      <c r="C9" s="16">
        <f>COUNTIF('IT Service Tickets'!C:C,"In Progress")</f>
        <v/>
      </c>
      <c r="F9" s="16" t="inlineStr">
        <is>
          <t>Medium</t>
        </is>
      </c>
      <c r="G9" s="16">
        <f>COUNTIF('IT Service Tickets'!D:D,"Medium")</f>
        <v/>
      </c>
      <c r="J9" s="16" t="inlineStr">
        <is>
          <t>Hardware Setup</t>
        </is>
      </c>
      <c r="K9" s="16">
        <f>COUNTIF('IT Service Tickets'!E:E,"Hardware Setup")</f>
        <v/>
      </c>
      <c r="L9" s="16">
        <f>COUNTIFS('IT Service Tickets'!E:E,"Hardware Setup",'IT Service Tickets'!C:C,"&lt;&gt;Closed",'IT Service Tickets'!C:C,"&lt;&gt;Resolved")</f>
        <v/>
      </c>
    </row>
    <row r="10">
      <c r="B10" s="16" t="inlineStr">
        <is>
          <t>Waiting for Info</t>
        </is>
      </c>
      <c r="C10" s="16">
        <f>COUNTIF('IT Service Tickets'!C:C,"Waiting for Info")</f>
        <v/>
      </c>
      <c r="F10" s="16" t="inlineStr">
        <is>
          <t>Low</t>
        </is>
      </c>
      <c r="G10" s="16">
        <f>COUNTIF('IT Service Tickets'!D:D,"Low")</f>
        <v/>
      </c>
      <c r="J10" s="16" t="inlineStr">
        <is>
          <t>Permission Changes</t>
        </is>
      </c>
      <c r="K10" s="16">
        <f>COUNTIF('IT Service Tickets'!E:E,"Permission Changes")</f>
        <v/>
      </c>
      <c r="L10" s="16">
        <f>COUNTIFS('IT Service Tickets'!E:E,"Permission Changes",'IT Service Tickets'!C:C,"&lt;&gt;Closed",'IT Service Tickets'!C:C,"&lt;&gt;Resolved")</f>
        <v/>
      </c>
    </row>
    <row r="11">
      <c r="J11" s="16" t="inlineStr">
        <is>
          <t>Server Issues</t>
        </is>
      </c>
      <c r="K11" s="16">
        <f>COUNTIF('IT Service Tickets'!E:E,"Server Issues")</f>
        <v/>
      </c>
      <c r="L11" s="16">
        <f>COUNTIFS('IT Service Tickets'!E:E,"Server Issues",'IT Service Tickets'!C:C,"&lt;&gt;Closed",'IT Service Tickets'!C:C,"&lt;&gt;Resolved")</f>
        <v/>
      </c>
    </row>
    <row r="12">
      <c r="J12" s="16" t="inlineStr">
        <is>
          <t>Software Setup</t>
        </is>
      </c>
      <c r="K12" s="16">
        <f>COUNTIF('IT Service Tickets'!E:E,"Software Setup")</f>
        <v/>
      </c>
      <c r="L12" s="16">
        <f>COUNTIFS('IT Service Tickets'!E:E,"Software Setup",'IT Service Tickets'!C:C,"&lt;&gt;Closed",'IT Service Tickets'!C:C,"&lt;&gt;Resolved")</f>
        <v/>
      </c>
    </row>
    <row r="13">
      <c r="J13" s="16" t="inlineStr">
        <is>
          <t>Documentation Request</t>
        </is>
      </c>
      <c r="K13" s="16">
        <f>COUNTIF('IT Service Tickets'!E:E,"Documentation Request")</f>
        <v/>
      </c>
      <c r="L13" s="16">
        <f>COUNTIFS('IT Service Tickets'!E:E,"Documentation Request",'IT Service Tickets'!C:C,"&lt;&gt;Closed",'IT Service Tickets'!C:C,"&lt;&gt;Resolved")</f>
        <v/>
      </c>
    </row>
    <row r="14">
      <c r="J14" s="16" t="inlineStr">
        <is>
          <t>Account Setup</t>
        </is>
      </c>
      <c r="K14" s="16">
        <f>COUNTIF('IT Service Tickets'!E:E,"Account Setup")</f>
        <v/>
      </c>
      <c r="L14" s="16">
        <f>COUNTIFS('IT Service Tickets'!E:E,"Account Setup",'IT Service Tickets'!C:C,"&lt;&gt;Closed",'IT Service Tickets'!C:C,"&lt;&gt;Resolved")</f>
        <v/>
      </c>
    </row>
    <row r="15">
      <c r="J15" s="16" t="inlineStr">
        <is>
          <t>Hardware Adquisition</t>
        </is>
      </c>
      <c r="K15" s="16">
        <f>COUNTIF('IT Service Tickets'!E:E,"Hardware Adquisition")</f>
        <v/>
      </c>
      <c r="L15" s="16">
        <f>COUNTIFS('IT Service Tickets'!E:E,"Hardware Adquisition",'IT Service Tickets'!C:C,"&lt;&gt;Closed",'IT Service Tickets'!C:C,"&lt;&gt;Resolved")</f>
        <v/>
      </c>
    </row>
    <row r="16">
      <c r="J16" s="16" t="inlineStr">
        <is>
          <t>Software Acquisition</t>
        </is>
      </c>
      <c r="K16" s="16">
        <f>COUNTIF('IT Service Tickets'!E:E,"Software Acquisition")</f>
        <v/>
      </c>
      <c r="L16" s="16">
        <f>COUNTIFS('IT Service Tickets'!E:E,"Software Acquisition",'IT Service Tickets'!C:C,"&lt;&gt;Closed",'IT Service Tickets'!C:C,"&lt;&gt;Resolved")</f>
        <v/>
      </c>
    </row>
    <row r="17">
      <c r="J17" s="16" t="inlineStr">
        <is>
          <t>Spam Removal</t>
        </is>
      </c>
      <c r="K17" s="16">
        <f>COUNTIF('IT Service Tickets'!E:E,"Spam Removal")</f>
        <v/>
      </c>
      <c r="L17" s="16">
        <f>COUNTIFS('IT Service Tickets'!E:E,"Spam Removal",'IT Service Tickets'!C:C,"&lt;&gt;Closed",'IT Service Tickets'!C:C,"&lt;&gt;Resolved")</f>
        <v/>
      </c>
    </row>
    <row r="18">
      <c r="J18" s="16" t="inlineStr">
        <is>
          <t>Email Issues</t>
        </is>
      </c>
      <c r="K18" s="16">
        <f>COUNTIF('IT Service Tickets'!E:E,"Email Issues")</f>
        <v/>
      </c>
      <c r="L18" s="16">
        <f>COUNTIFS('IT Service Tickets'!E:E,"Email Issues",'IT Service Tickets'!C:C,"&lt;&gt;Closed",'IT Service Tickets'!C:C,"&lt;&gt;Resolved")</f>
        <v/>
      </c>
    </row>
    <row r="19">
      <c r="J19" s="16" t="inlineStr">
        <is>
          <t>Account Changes</t>
        </is>
      </c>
      <c r="K19" s="16">
        <f>COUNTIF('IT Service Tickets'!E:E,"Account Changes")</f>
        <v/>
      </c>
      <c r="L19" s="16">
        <f>COUNTIFS('IT Service Tickets'!E:E,"Account Changes",'IT Service Tickets'!C:C,"&lt;&gt;Closed",'IT Service Tickets'!C:C,"&lt;&gt;Resolved")</f>
        <v/>
      </c>
    </row>
    <row r="20">
      <c r="J20" s="16" t="inlineStr">
        <is>
          <t>Company Website Issues</t>
        </is>
      </c>
      <c r="K20" s="16">
        <f>COUNTIF('IT Service Tickets'!E:E,"Company Website Issues")</f>
        <v/>
      </c>
      <c r="L20" s="16">
        <f>COUNTIFS('IT Service Tickets'!E:E,"Company Website Issues",'IT Service Tickets'!C:C,"&lt;&gt;Closed",'IT Service Tickets'!C:C,"&lt;&gt;Resolved")</f>
        <v/>
      </c>
    </row>
    <row r="21">
      <c r="J21" s="16" t="inlineStr">
        <is>
          <t>Feedback Request</t>
        </is>
      </c>
      <c r="K21" s="16">
        <f>COUNTIF('IT Service Tickets'!E:E,"Feedback Request")</f>
        <v/>
      </c>
      <c r="L21" s="16">
        <f>COUNTIFS('IT Service Tickets'!E:E,"Feedback Request",'IT Service Tickets'!C:C,"&lt;&gt;Closed",'IT Service Tickets'!C:C,"&lt;&gt;Resolved")</f>
        <v/>
      </c>
    </row>
    <row r="22">
      <c r="J22" s="16" t="inlineStr">
        <is>
          <t>System Access</t>
        </is>
      </c>
      <c r="K22" s="16">
        <f>COUNTIF('IT Service Tickets'!E:E,"System Access")</f>
        <v/>
      </c>
      <c r="L22" s="16">
        <f>COUNTIFS('IT Service Tickets'!E:E,"System Access",'IT Service Tickets'!C:C,"&lt;&gt;Closed",'IT Service Tickets'!C:C,"&lt;&gt;Resolved")</f>
        <v/>
      </c>
    </row>
    <row r="32" ht="18" customHeight="1" s="36">
      <c r="B32" s="38" t="inlineStr">
        <is>
          <t>STAFF WORKLOAD</t>
        </is>
      </c>
      <c r="F32" s="38" t="inlineStr">
        <is>
          <t>RESOLUTION SUMMARY</t>
        </is>
      </c>
    </row>
    <row r="33">
      <c r="B33" s="28" t="inlineStr">
        <is>
          <t>Staff</t>
        </is>
      </c>
      <c r="C33" s="28" t="inlineStr">
        <is>
          <t>Assigned</t>
        </is>
      </c>
      <c r="D33" s="28" t="inlineStr">
        <is>
          <t>Open</t>
        </is>
      </c>
      <c r="F33" s="28" t="inlineStr">
        <is>
          <t>Category</t>
        </is>
      </c>
      <c r="G33" s="28" t="inlineStr">
        <is>
          <t>Count</t>
        </is>
      </c>
    </row>
    <row r="34">
      <c r="B34" s="16" t="inlineStr">
        <is>
          <t>Angel Pinzon</t>
        </is>
      </c>
      <c r="C34" s="16">
        <f>COUNTIF('IT Service Tickets'!F:F,"*Angel Pinzon*")</f>
        <v/>
      </c>
      <c r="D34" s="16">
        <f>COUNTIFS('IT Service Tickets'!F:F,"*Angel Pinzon*",'IT Service Tickets'!C:C,"&lt;&gt;Closed",'IT Service Tickets'!C:C,"&lt;&gt;Resolved")</f>
        <v/>
      </c>
      <c r="F34" s="16" t="inlineStr">
        <is>
          <t>Open (In Progress + Waiting)</t>
        </is>
      </c>
      <c r="G34" s="16">
        <f>COUNTIF('IT Service Tickets'!C:C,"In Progress")+COUNTIF('IT Service Tickets'!C:C,"Waiting for Info")</f>
        <v/>
      </c>
    </row>
    <row r="35">
      <c r="B35" s="16" t="inlineStr">
        <is>
          <t>VC3</t>
        </is>
      </c>
      <c r="C35" s="16">
        <f>COUNTIF('IT Service Tickets'!F:F,"*VC3*")</f>
        <v/>
      </c>
      <c r="D35" s="16">
        <f>COUNTIFS('IT Service Tickets'!F:F,"*VC3*",'IT Service Tickets'!C:C,"&lt;&gt;Closed",'IT Service Tickets'!C:C,"&lt;&gt;Resolved")</f>
        <v/>
      </c>
      <c r="F35" s="16" t="inlineStr">
        <is>
          <t>Closed/Resolved</t>
        </is>
      </c>
      <c r="G35" s="16">
        <f>COUNTIF('IT Service Tickets'!C:C,"Closed")+COUNTIF('IT Service Tickets'!C:C,"Resolved")</f>
        <v/>
      </c>
    </row>
    <row r="36">
      <c r="B36" s="16" t="inlineStr">
        <is>
          <t>Angel + VC3</t>
        </is>
      </c>
      <c r="C36" s="16">
        <f>COUNTIF('IT Service Tickets'!F:F,"*@Angel Pinzon @VC3*")</f>
        <v/>
      </c>
      <c r="D36" s="16">
        <f>COUNTIFS('IT Service Tickets'!F:F,"*@Angel Pinzon @VC3*",'IT Service Tickets'!C:C,"&lt;&gt;Closed",'IT Service Tickets'!C:C,"&lt;&gt;Resolved")</f>
        <v/>
      </c>
    </row>
    <row r="37">
      <c r="B37" s="16" t="inlineStr">
        <is>
          <t>Angel + Manuel</t>
        </is>
      </c>
      <c r="C37" s="16">
        <f>COUNTIF('IT Service Tickets'!F:F,"*@Angel Pinzon @Manuel*")</f>
        <v/>
      </c>
      <c r="D37" s="16">
        <f>COUNTIFS('IT Service Tickets'!F:F,"*@Angel Pinzon @Manuel*",'IT Service Tickets'!C:C,"&lt;&gt;Closed",'IT Service Tickets'!C:C,"&lt;&gt;Resolved")</f>
        <v/>
      </c>
    </row>
    <row r="58" ht="18" customHeight="1" s="36">
      <c r="B58" s="38" t="inlineStr">
        <is>
          <t>TICKETS BY WEEK</t>
        </is>
      </c>
      <c r="F58" s="38" t="inlineStr">
        <is>
          <t>HIGH PRIORITY OPEN</t>
        </is>
      </c>
    </row>
    <row r="59">
      <c r="B59" s="28" t="inlineStr">
        <is>
          <t>Week Period</t>
        </is>
      </c>
      <c r="C59" s="28" t="inlineStr">
        <is>
          <t>Count</t>
        </is>
      </c>
      <c r="F59" s="28" t="inlineStr">
        <is>
          <t>Priority</t>
        </is>
      </c>
      <c r="G59" s="28" t="inlineStr">
        <is>
          <t>Open Count</t>
        </is>
      </c>
    </row>
    <row r="60">
      <c r="B60" s="16" t="inlineStr">
        <is>
          <t>Current Week</t>
        </is>
      </c>
      <c r="C60" s="16">
        <f>COUNTIFS('IT Service Tickets'!H:H,"&gt;="&amp;(Setup!$G$2-WEEKDAY(Setup!$G$2,2)+1),'IT Service Tickets'!H:H,"&lt;="&amp;Setup!$G$2)</f>
        <v/>
      </c>
      <c r="F60" s="16" t="inlineStr">
        <is>
          <t>Critical Open</t>
        </is>
      </c>
      <c r="G60" s="16">
        <f>COUNTIFS('IT Service Tickets'!D:D,"Critical",'IT Service Tickets'!C:C,"&lt;&gt;Closed",'IT Service Tickets'!C:C,"&lt;&gt;Resolved")</f>
        <v/>
      </c>
    </row>
    <row r="61">
      <c r="B61" s="16" t="inlineStr">
        <is>
          <t>Last Week</t>
        </is>
      </c>
      <c r="C61" s="16">
        <f>COUNTIFS('IT Service Tickets'!H:H,"&gt;="&amp;(Setup!$G$2-WEEKDAY(Setup!$G$2,2)-6),'IT Service Tickets'!H:H,"&lt;="&amp;(Setup!$G$2-WEEKDAY(Setup!$G$2,2)))</f>
        <v/>
      </c>
      <c r="F61" s="16" t="inlineStr">
        <is>
          <t>High Open</t>
        </is>
      </c>
      <c r="G61" s="16">
        <f>COUNTIFS('IT Service Tickets'!D:D,"High",'IT Service Tickets'!C:C,"&lt;&gt;Closed",'IT Service Tickets'!C:C,"&lt;&gt;Resolved")</f>
        <v/>
      </c>
    </row>
    <row r="62">
      <c r="B62" s="16" t="inlineStr">
        <is>
          <t>2 Weeks Ago</t>
        </is>
      </c>
      <c r="C62" s="16">
        <f>COUNTIFS('IT Service Tickets'!H:H,"&gt;="&amp;(Setup!$G$2-WEEKDAY(Setup!$G$2,2)-13),'IT Service Tickets'!H:H,"&lt;="&amp;(Setup!$G$2-WEEKDAY(Setup!$G$2,2)-7))</f>
        <v/>
      </c>
      <c r="F62" s="16" t="inlineStr">
        <is>
          <t>Medium Open</t>
        </is>
      </c>
      <c r="G62" s="16">
        <f>COUNTIFS('IT Service Tickets'!D:D,"Medium",'IT Service Tickets'!C:C,"&lt;&gt;Closed",'IT Service Tickets'!C:C,"&lt;&gt;Resolved")</f>
        <v/>
      </c>
    </row>
    <row r="63">
      <c r="B63" s="16" t="inlineStr">
        <is>
          <t>3 Weeks Ago</t>
        </is>
      </c>
      <c r="C63" s="16">
        <f>COUNTIFS('IT Service Tickets'!H:H,"&gt;="&amp;(Setup!$G$2-WEEKDAY(Setup!$G$2,2)-20),'IT Service Tickets'!H:H,"&lt;="&amp;(Setup!$G$2-WEEKDAY(Setup!$G$2,2)-14))</f>
        <v/>
      </c>
      <c r="F63" s="16" t="inlineStr">
        <is>
          <t>Low Open</t>
        </is>
      </c>
      <c r="G63" s="16">
        <f>COUNTIFS('IT Service Tickets'!D:D,"Low",'IT Service Tickets'!C:C,"&lt;&gt;Closed",'IT Service Tickets'!C:C,"&lt;&gt;Resolved")</f>
        <v/>
      </c>
    </row>
  </sheetData>
  <mergeCells count="8">
    <mergeCell ref="J5:L5"/>
    <mergeCell ref="B5:C5"/>
    <mergeCell ref="B32:D32"/>
    <mergeCell ref="F5:G5"/>
    <mergeCell ref="B2:L2"/>
    <mergeCell ref="F32:G32"/>
    <mergeCell ref="F58:G58"/>
    <mergeCell ref="B58:C58"/>
  </mergeCells>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2025-12-08T21:09:44Z</dcterms:created>
  <dcterms:modified xsi:type="dcterms:W3CDTF">2026-01-07T16:12:36Z</dcterms:modified>
  <cp:lastModifiedBy>Angel Pinzon</cp:lastModifiedBy>
  <cp:revision>1</cp:revision>
</cp:coreProperties>
</file>